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D4802FF3-3027-46DB-8692-DE8824AC516A}" xr6:coauthVersionLast="47" xr6:coauthVersionMax="47" xr10:uidLastSave="{00000000-0000-0000-0000-000000000000}"/>
  <bookViews>
    <workbookView xWindow="-120" yWindow="-120" windowWidth="20730" windowHeight="11040" firstSheet="15" activeTab="15" xr2:uid="{00000000-000D-0000-FFFF-FFFF00000000}"/>
  </bookViews>
  <sheets>
    <sheet name="Canola Jan-26" sheetId="1" r:id="rId1"/>
    <sheet name="Wheat Grass Jan-26" sheetId="2" r:id="rId2"/>
    <sheet name="Total Labour Jan-26" sheetId="3" r:id="rId3"/>
    <sheet name="Canola Feb-26" sheetId="4" r:id="rId4"/>
    <sheet name="Wheat Grass Feb-26" sheetId="5" r:id="rId5"/>
    <sheet name="Total Labour Feb-26" sheetId="6" r:id="rId6"/>
    <sheet name="Canola Mar-26" sheetId="9" r:id="rId7"/>
    <sheet name="Wheat Grass Mar-26" sheetId="10" r:id="rId8"/>
    <sheet name="Total Labour Mar-26" sheetId="11" r:id="rId9"/>
    <sheet name="Canola Apr-26" sheetId="13" r:id="rId10"/>
    <sheet name="Wheat Grass Apr-26" sheetId="14" r:id="rId11"/>
    <sheet name="Total Labour Apr-26" sheetId="15" r:id="rId12"/>
    <sheet name="Canola May-26" sheetId="16" r:id="rId13"/>
    <sheet name="Wheat Grass May-26" sheetId="17" r:id="rId14"/>
    <sheet name="Total Labour May-26" sheetId="18" r:id="rId15"/>
    <sheet name="Canola June-26" sheetId="22" r:id="rId16"/>
    <sheet name="Wheat Grass June-26" sheetId="23" r:id="rId17"/>
    <sheet name="Total Labour June-26" sheetId="24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21" i="22" l="1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S33" i="24"/>
  <c r="S32" i="24"/>
  <c r="S31" i="24"/>
  <c r="S30" i="24"/>
  <c r="S29" i="24"/>
  <c r="S28" i="24"/>
  <c r="S27" i="24"/>
  <c r="S26" i="24"/>
  <c r="S25" i="24"/>
  <c r="S24" i="24"/>
  <c r="S23" i="24"/>
  <c r="S22" i="24"/>
  <c r="S21" i="24"/>
  <c r="S20" i="24"/>
  <c r="S19" i="24"/>
  <c r="S18" i="24"/>
  <c r="S17" i="24"/>
  <c r="S16" i="24"/>
  <c r="S15" i="24"/>
  <c r="S14" i="24"/>
  <c r="S13" i="24"/>
  <c r="S12" i="24"/>
  <c r="S11" i="24"/>
  <c r="S10" i="24"/>
  <c r="S9" i="24"/>
  <c r="S8" i="24"/>
  <c r="S7" i="24"/>
  <c r="S6" i="24"/>
  <c r="S5" i="24"/>
  <c r="S4" i="24"/>
  <c r="T34" i="23"/>
  <c r="S34" i="23"/>
  <c r="R34" i="23"/>
  <c r="Q34" i="23"/>
  <c r="P34" i="23"/>
  <c r="O34" i="23"/>
  <c r="N34" i="23"/>
  <c r="M34" i="23"/>
  <c r="L34" i="23"/>
  <c r="K34" i="23"/>
  <c r="J34" i="23"/>
  <c r="I34" i="23"/>
  <c r="H34" i="23"/>
  <c r="G34" i="23"/>
  <c r="F34" i="23"/>
  <c r="E34" i="23"/>
  <c r="D34" i="23"/>
  <c r="C34" i="23"/>
  <c r="U33" i="23"/>
  <c r="U32" i="23"/>
  <c r="U31" i="23"/>
  <c r="U30" i="23"/>
  <c r="U29" i="23"/>
  <c r="U28" i="23"/>
  <c r="U27" i="23"/>
  <c r="U26" i="23"/>
  <c r="U25" i="23"/>
  <c r="U24" i="23"/>
  <c r="U23" i="23"/>
  <c r="U22" i="23"/>
  <c r="U21" i="23"/>
  <c r="U20" i="23"/>
  <c r="U19" i="23"/>
  <c r="U18" i="23"/>
  <c r="U17" i="23"/>
  <c r="U16" i="23"/>
  <c r="U15" i="23"/>
  <c r="U14" i="23"/>
  <c r="U13" i="23"/>
  <c r="U12" i="23"/>
  <c r="U11" i="23"/>
  <c r="U10" i="23"/>
  <c r="U9" i="23"/>
  <c r="U8" i="23"/>
  <c r="U7" i="23"/>
  <c r="U6" i="23"/>
  <c r="U5" i="23"/>
  <c r="U4" i="23"/>
  <c r="T34" i="22"/>
  <c r="S34" i="22"/>
  <c r="R34" i="22"/>
  <c r="Q34" i="22"/>
  <c r="P34" i="22"/>
  <c r="O34" i="22"/>
  <c r="N34" i="22"/>
  <c r="M34" i="22"/>
  <c r="L34" i="22"/>
  <c r="K34" i="22"/>
  <c r="J34" i="22"/>
  <c r="I34" i="22"/>
  <c r="H34" i="22"/>
  <c r="G34" i="22"/>
  <c r="F34" i="22"/>
  <c r="E34" i="22"/>
  <c r="D34" i="22"/>
  <c r="C34" i="22"/>
  <c r="U33" i="22"/>
  <c r="U32" i="22"/>
  <c r="U31" i="22"/>
  <c r="U30" i="22"/>
  <c r="U29" i="22"/>
  <c r="U28" i="22"/>
  <c r="U27" i="22"/>
  <c r="U26" i="22"/>
  <c r="U25" i="22"/>
  <c r="U24" i="22"/>
  <c r="U23" i="22"/>
  <c r="U22" i="22"/>
  <c r="U21" i="22"/>
  <c r="U20" i="22"/>
  <c r="U19" i="22"/>
  <c r="U18" i="22"/>
  <c r="U17" i="22"/>
  <c r="U16" i="22"/>
  <c r="U15" i="22"/>
  <c r="U14" i="22"/>
  <c r="U13" i="22"/>
  <c r="U12" i="22"/>
  <c r="U11" i="22"/>
  <c r="U10" i="22"/>
  <c r="U9" i="22"/>
  <c r="U8" i="22"/>
  <c r="U7" i="22"/>
  <c r="U6" i="22"/>
  <c r="U5" i="22"/>
  <c r="U4" i="22"/>
  <c r="N35" i="16"/>
  <c r="Q35" i="17"/>
  <c r="M35" i="17"/>
  <c r="T35" i="16"/>
  <c r="Q35" i="16"/>
  <c r="O35" i="16"/>
  <c r="M35" i="16"/>
  <c r="G35" i="16"/>
  <c r="C35" i="16"/>
  <c r="S35" i="16"/>
  <c r="P35" i="18"/>
  <c r="O35" i="18"/>
  <c r="C35" i="18"/>
  <c r="N35" i="18"/>
  <c r="M35" i="18"/>
  <c r="G35" i="18"/>
  <c r="R35" i="18"/>
  <c r="Q35" i="18"/>
  <c r="S37" i="18"/>
  <c r="L35" i="18"/>
  <c r="K35" i="18"/>
  <c r="J35" i="18"/>
  <c r="I35" i="18"/>
  <c r="H35" i="18"/>
  <c r="F35" i="18"/>
  <c r="E35" i="18"/>
  <c r="D35" i="18"/>
  <c r="S34" i="18"/>
  <c r="S33" i="18"/>
  <c r="S32" i="18"/>
  <c r="S31" i="18"/>
  <c r="S30" i="18"/>
  <c r="S29" i="18"/>
  <c r="S28" i="18"/>
  <c r="S27" i="18"/>
  <c r="S26" i="18"/>
  <c r="S25" i="18"/>
  <c r="S24" i="18"/>
  <c r="S23" i="18"/>
  <c r="S22" i="18"/>
  <c r="S21" i="18"/>
  <c r="S20" i="18"/>
  <c r="S19" i="18"/>
  <c r="S18" i="18"/>
  <c r="S17" i="18"/>
  <c r="S16" i="18"/>
  <c r="S15" i="18"/>
  <c r="S14" i="18"/>
  <c r="S13" i="18"/>
  <c r="S12" i="18"/>
  <c r="S11" i="18"/>
  <c r="S10" i="18"/>
  <c r="S9" i="18"/>
  <c r="S8" i="18"/>
  <c r="S7" i="18"/>
  <c r="S6" i="18"/>
  <c r="S5" i="18"/>
  <c r="S4" i="18"/>
  <c r="T35" i="17"/>
  <c r="S35" i="17"/>
  <c r="R35" i="17"/>
  <c r="P35" i="17"/>
  <c r="O35" i="17"/>
  <c r="N35" i="17"/>
  <c r="L35" i="17"/>
  <c r="K35" i="17"/>
  <c r="J35" i="17"/>
  <c r="I35" i="17"/>
  <c r="H35" i="17"/>
  <c r="G35" i="17"/>
  <c r="F35" i="17"/>
  <c r="E35" i="17"/>
  <c r="D35" i="17"/>
  <c r="C35" i="17"/>
  <c r="U34" i="17"/>
  <c r="U33" i="17"/>
  <c r="U32" i="17"/>
  <c r="U31" i="17"/>
  <c r="U30" i="17"/>
  <c r="U29" i="17"/>
  <c r="U28" i="17"/>
  <c r="U27" i="17"/>
  <c r="U26" i="17"/>
  <c r="U25" i="17"/>
  <c r="U24" i="17"/>
  <c r="U23" i="17"/>
  <c r="U22" i="17"/>
  <c r="U21" i="17"/>
  <c r="U20" i="17"/>
  <c r="U19" i="17"/>
  <c r="U18" i="17"/>
  <c r="U17" i="17"/>
  <c r="U16" i="17"/>
  <c r="U15" i="17"/>
  <c r="U14" i="17"/>
  <c r="U13" i="17"/>
  <c r="U12" i="17"/>
  <c r="U11" i="17"/>
  <c r="U10" i="17"/>
  <c r="U9" i="17"/>
  <c r="U8" i="17"/>
  <c r="U7" i="17"/>
  <c r="U6" i="17"/>
  <c r="U5" i="17"/>
  <c r="U4" i="17"/>
  <c r="O40" i="15"/>
  <c r="O39" i="15"/>
  <c r="O38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S33" i="15"/>
  <c r="S32" i="15"/>
  <c r="S31" i="15"/>
  <c r="S30" i="15"/>
  <c r="S29" i="15"/>
  <c r="S28" i="15"/>
  <c r="S27" i="15"/>
  <c r="S26" i="15"/>
  <c r="S25" i="15"/>
  <c r="S24" i="15"/>
  <c r="S23" i="15"/>
  <c r="S22" i="15"/>
  <c r="S21" i="15"/>
  <c r="S20" i="15"/>
  <c r="S19" i="15"/>
  <c r="S18" i="15"/>
  <c r="S17" i="15"/>
  <c r="S16" i="15"/>
  <c r="S15" i="15"/>
  <c r="S14" i="15"/>
  <c r="S13" i="15"/>
  <c r="S12" i="15"/>
  <c r="S11" i="15"/>
  <c r="S10" i="15"/>
  <c r="S9" i="15"/>
  <c r="S8" i="15"/>
  <c r="S7" i="15"/>
  <c r="S6" i="15"/>
  <c r="S5" i="15"/>
  <c r="S4" i="15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U33" i="14"/>
  <c r="U32" i="14"/>
  <c r="U31" i="14"/>
  <c r="U30" i="14"/>
  <c r="U29" i="14"/>
  <c r="U28" i="14"/>
  <c r="U27" i="14"/>
  <c r="U26" i="14"/>
  <c r="U25" i="14"/>
  <c r="U24" i="14"/>
  <c r="U23" i="14"/>
  <c r="U22" i="14"/>
  <c r="U21" i="14"/>
  <c r="U20" i="14"/>
  <c r="U19" i="14"/>
  <c r="U18" i="14"/>
  <c r="U17" i="14"/>
  <c r="U16" i="14"/>
  <c r="U15" i="14"/>
  <c r="U14" i="14"/>
  <c r="U13" i="14"/>
  <c r="U12" i="14"/>
  <c r="U11" i="14"/>
  <c r="U10" i="14"/>
  <c r="U9" i="14"/>
  <c r="U8" i="14"/>
  <c r="U7" i="14"/>
  <c r="U6" i="14"/>
  <c r="U5" i="14"/>
  <c r="U4" i="14"/>
  <c r="U34" i="13"/>
  <c r="T34" i="13"/>
  <c r="S34" i="13"/>
  <c r="R34" i="13"/>
  <c r="Q34" i="13"/>
  <c r="P34" i="13"/>
  <c r="O34" i="13"/>
  <c r="N34" i="13"/>
  <c r="M34" i="13"/>
  <c r="L34" i="13"/>
  <c r="K34" i="13"/>
  <c r="J34" i="13"/>
  <c r="I34" i="13"/>
  <c r="H34" i="13"/>
  <c r="G34" i="13"/>
  <c r="F34" i="13"/>
  <c r="E34" i="13"/>
  <c r="D34" i="13"/>
  <c r="C34" i="13"/>
  <c r="U33" i="13"/>
  <c r="U32" i="13"/>
  <c r="U31" i="13"/>
  <c r="U30" i="13"/>
  <c r="U29" i="13"/>
  <c r="U28" i="13"/>
  <c r="U27" i="13"/>
  <c r="U26" i="13"/>
  <c r="U25" i="13"/>
  <c r="U24" i="13"/>
  <c r="U23" i="13"/>
  <c r="U21" i="13"/>
  <c r="U20" i="13"/>
  <c r="U19" i="13"/>
  <c r="U18" i="13"/>
  <c r="U17" i="13"/>
  <c r="U16" i="13"/>
  <c r="U15" i="13"/>
  <c r="U14" i="13"/>
  <c r="U13" i="13"/>
  <c r="U12" i="13"/>
  <c r="U11" i="13"/>
  <c r="Y10" i="13"/>
  <c r="U10" i="13"/>
  <c r="U9" i="13"/>
  <c r="U8" i="13"/>
  <c r="U7" i="13"/>
  <c r="U6" i="13"/>
  <c r="U5" i="13"/>
  <c r="U4" i="13"/>
  <c r="S35" i="11"/>
  <c r="Q35" i="11"/>
  <c r="P35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C35" i="11"/>
  <c r="S34" i="11"/>
  <c r="S33" i="11"/>
  <c r="S32" i="11"/>
  <c r="S31" i="11"/>
  <c r="S30" i="11"/>
  <c r="S29" i="11"/>
  <c r="S28" i="11"/>
  <c r="S27" i="11"/>
  <c r="S26" i="11"/>
  <c r="S25" i="11"/>
  <c r="S24" i="11"/>
  <c r="S23" i="11"/>
  <c r="S22" i="11"/>
  <c r="S21" i="11"/>
  <c r="S20" i="11"/>
  <c r="S19" i="11"/>
  <c r="S18" i="11"/>
  <c r="S17" i="11"/>
  <c r="S16" i="11"/>
  <c r="S15" i="11"/>
  <c r="S14" i="11"/>
  <c r="S13" i="11"/>
  <c r="S12" i="11"/>
  <c r="S11" i="11"/>
  <c r="S10" i="11"/>
  <c r="S9" i="11"/>
  <c r="S8" i="11"/>
  <c r="S7" i="11"/>
  <c r="S6" i="11"/>
  <c r="S5" i="11"/>
  <c r="U43" i="10"/>
  <c r="U39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U34" i="10"/>
  <c r="U33" i="10"/>
  <c r="U32" i="10"/>
  <c r="U31" i="10"/>
  <c r="U30" i="10"/>
  <c r="U29" i="10"/>
  <c r="U28" i="10"/>
  <c r="U27" i="10"/>
  <c r="U26" i="10"/>
  <c r="U25" i="10"/>
  <c r="U24" i="10"/>
  <c r="U23" i="10"/>
  <c r="U22" i="10"/>
  <c r="U21" i="10"/>
  <c r="U20" i="10"/>
  <c r="U19" i="10"/>
  <c r="U17" i="10"/>
  <c r="U16" i="10"/>
  <c r="U15" i="10"/>
  <c r="U14" i="10"/>
  <c r="U13" i="10"/>
  <c r="U12" i="10"/>
  <c r="U11" i="10"/>
  <c r="U9" i="10"/>
  <c r="U8" i="10"/>
  <c r="U6" i="10"/>
  <c r="U5" i="10"/>
  <c r="U35" i="9"/>
  <c r="T35" i="9"/>
  <c r="S35" i="9"/>
  <c r="R35" i="9"/>
  <c r="Q35" i="9"/>
  <c r="P35" i="9"/>
  <c r="O35" i="9"/>
  <c r="N35" i="9"/>
  <c r="M35" i="9"/>
  <c r="L35" i="9"/>
  <c r="K35" i="9"/>
  <c r="J35" i="9"/>
  <c r="I35" i="9"/>
  <c r="H35" i="9"/>
  <c r="G35" i="9"/>
  <c r="F35" i="9"/>
  <c r="E35" i="9"/>
  <c r="D35" i="9"/>
  <c r="C35" i="9"/>
  <c r="U34" i="9"/>
  <c r="U33" i="9"/>
  <c r="U32" i="9"/>
  <c r="U31" i="9"/>
  <c r="U30" i="9"/>
  <c r="U29" i="9"/>
  <c r="U28" i="9"/>
  <c r="U27" i="9"/>
  <c r="U26" i="9"/>
  <c r="U25" i="9"/>
  <c r="U24" i="9"/>
  <c r="U23" i="9"/>
  <c r="U22" i="9"/>
  <c r="U21" i="9"/>
  <c r="U20" i="9"/>
  <c r="U19" i="9"/>
  <c r="U18" i="9"/>
  <c r="U17" i="9"/>
  <c r="U16" i="9"/>
  <c r="U15" i="9"/>
  <c r="U14" i="9"/>
  <c r="U13" i="9"/>
  <c r="U12" i="9"/>
  <c r="U11" i="9"/>
  <c r="U10" i="9"/>
  <c r="U9" i="9"/>
  <c r="U8" i="9"/>
  <c r="U7" i="9"/>
  <c r="U6" i="9"/>
  <c r="U5" i="9"/>
  <c r="Q32" i="6"/>
  <c r="P32" i="6"/>
  <c r="O32" i="6"/>
  <c r="N32" i="6"/>
  <c r="M32" i="6"/>
  <c r="L32" i="6"/>
  <c r="K32" i="6"/>
  <c r="J32" i="6"/>
  <c r="I32" i="6"/>
  <c r="H32" i="6"/>
  <c r="G32" i="6"/>
  <c r="F32" i="6"/>
  <c r="E32" i="6"/>
  <c r="D32" i="6"/>
  <c r="C32" i="6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G32" i="5"/>
  <c r="F32" i="5"/>
  <c r="E32" i="5"/>
  <c r="D32" i="5"/>
  <c r="C32" i="5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Q35" i="3"/>
  <c r="P35" i="3"/>
  <c r="O35" i="3"/>
  <c r="M35" i="3"/>
  <c r="C35" i="3"/>
  <c r="S35" i="2"/>
  <c r="Q35" i="2"/>
  <c r="O35" i="2"/>
  <c r="M35" i="2"/>
  <c r="T35" i="1"/>
  <c r="S35" i="1"/>
  <c r="Q35" i="1"/>
  <c r="P35" i="1"/>
  <c r="O35" i="1"/>
  <c r="M35" i="1"/>
  <c r="C35" i="1"/>
  <c r="R35" i="16"/>
  <c r="P35" i="16"/>
  <c r="L35" i="16"/>
  <c r="K35" i="16"/>
  <c r="J35" i="16"/>
  <c r="I35" i="16"/>
  <c r="H35" i="16"/>
  <c r="F35" i="16"/>
  <c r="E35" i="16"/>
  <c r="D35" i="16"/>
  <c r="U34" i="16"/>
  <c r="U33" i="16"/>
  <c r="U32" i="16"/>
  <c r="U31" i="16"/>
  <c r="U30" i="16"/>
  <c r="U29" i="16"/>
  <c r="U28" i="16"/>
  <c r="U27" i="16"/>
  <c r="U26" i="16"/>
  <c r="U25" i="16"/>
  <c r="U24" i="16"/>
  <c r="U23" i="16"/>
  <c r="U22" i="16"/>
  <c r="U21" i="16"/>
  <c r="U20" i="16"/>
  <c r="U19" i="16"/>
  <c r="U18" i="16"/>
  <c r="U17" i="16"/>
  <c r="U16" i="16"/>
  <c r="U15" i="16"/>
  <c r="U14" i="16"/>
  <c r="U13" i="16"/>
  <c r="U12" i="16"/>
  <c r="U11" i="16"/>
  <c r="U10" i="16"/>
  <c r="U9" i="16"/>
  <c r="U8" i="16"/>
  <c r="U7" i="16"/>
  <c r="U6" i="16"/>
  <c r="U5" i="16"/>
  <c r="U4" i="16"/>
  <c r="S34" i="24" l="1"/>
  <c r="U34" i="23"/>
  <c r="U34" i="22"/>
  <c r="U35" i="17"/>
  <c r="U35" i="16"/>
  <c r="S35" i="18"/>
</calcChain>
</file>

<file path=xl/sharedStrings.xml><?xml version="1.0" encoding="utf-8"?>
<sst xmlns="http://schemas.openxmlformats.org/spreadsheetml/2006/main" count="1073" uniqueCount="216">
  <si>
    <t>Detail of Casual Labour use in Canola Plant Month of Jan -2026</t>
  </si>
  <si>
    <t>S.no</t>
  </si>
  <si>
    <t>Date</t>
  </si>
  <si>
    <t>Gaurav</t>
  </si>
  <si>
    <t>SVK</t>
  </si>
  <si>
    <t>JP Enterprises</t>
  </si>
  <si>
    <t>Vikas</t>
  </si>
  <si>
    <t>Gaurav Kundli</t>
  </si>
  <si>
    <t>Imran</t>
  </si>
  <si>
    <t>Anup</t>
  </si>
  <si>
    <t>Harvinder</t>
  </si>
  <si>
    <t>Company</t>
  </si>
  <si>
    <t>Day</t>
  </si>
  <si>
    <t>Night</t>
  </si>
  <si>
    <t>01.01.26</t>
  </si>
  <si>
    <t>02.01.26</t>
  </si>
  <si>
    <t>03.01.26</t>
  </si>
  <si>
    <t>04.01.26</t>
  </si>
  <si>
    <t>05.01.26</t>
  </si>
  <si>
    <t>06.01.26</t>
  </si>
  <si>
    <t>07.01.26</t>
  </si>
  <si>
    <t>08.01.26</t>
  </si>
  <si>
    <t>09.01.26</t>
  </si>
  <si>
    <t>10.01.26</t>
  </si>
  <si>
    <t>11.01.26</t>
  </si>
  <si>
    <t>12.01.26</t>
  </si>
  <si>
    <t>13.01.26</t>
  </si>
  <si>
    <t>14.01.26</t>
  </si>
  <si>
    <t>15.01.26</t>
  </si>
  <si>
    <t>16.01.26</t>
  </si>
  <si>
    <t>17.01.26</t>
  </si>
  <si>
    <t>18.01.26</t>
  </si>
  <si>
    <t>19.01.26</t>
  </si>
  <si>
    <t>20.01.26</t>
  </si>
  <si>
    <t>21.01.26</t>
  </si>
  <si>
    <t>22.01.26</t>
  </si>
  <si>
    <t>23.01.26</t>
  </si>
  <si>
    <t>24.01.26</t>
  </si>
  <si>
    <t>25.01.26</t>
  </si>
  <si>
    <t>26.01.26</t>
  </si>
  <si>
    <t>holiday</t>
  </si>
  <si>
    <t>27.01.26</t>
  </si>
  <si>
    <t>28.01.26</t>
  </si>
  <si>
    <t>29.01.26</t>
  </si>
  <si>
    <t>30.01.26</t>
  </si>
  <si>
    <t>31.01.26</t>
  </si>
  <si>
    <t>Detail of Casual Labour use in Wheat Grass Plant Month of Jan -2026</t>
  </si>
  <si>
    <t>Detail of Casual Labour use in Plant Month of Jan -2026</t>
  </si>
  <si>
    <t>Detail of Casual Labour use in Canola Plant Month of Feb -2026</t>
  </si>
  <si>
    <t>01.02.26</t>
  </si>
  <si>
    <t>02.02.26</t>
  </si>
  <si>
    <t>03.02.26</t>
  </si>
  <si>
    <t>04.02.26</t>
  </si>
  <si>
    <t>05.02.26</t>
  </si>
  <si>
    <t>06.02.26</t>
  </si>
  <si>
    <t>07.02.26</t>
  </si>
  <si>
    <t>08.02.26</t>
  </si>
  <si>
    <t>09.02.26</t>
  </si>
  <si>
    <t>10.02.26</t>
  </si>
  <si>
    <t>11.02.26</t>
  </si>
  <si>
    <t>12.02.26</t>
  </si>
  <si>
    <t>13.02.26</t>
  </si>
  <si>
    <t>14.02.26</t>
  </si>
  <si>
    <t>15.02.26</t>
  </si>
  <si>
    <t>16.02.26</t>
  </si>
  <si>
    <t>17.02.26</t>
  </si>
  <si>
    <t>18.02.26</t>
  </si>
  <si>
    <t>19.02.26</t>
  </si>
  <si>
    <t>20.02.26</t>
  </si>
  <si>
    <t>21.02.26</t>
  </si>
  <si>
    <t>22.02.26</t>
  </si>
  <si>
    <t>23.02.26</t>
  </si>
  <si>
    <t>24.02.26</t>
  </si>
  <si>
    <t>25.02.26</t>
  </si>
  <si>
    <t>26.02.26</t>
  </si>
  <si>
    <t>27.02.26</t>
  </si>
  <si>
    <t>28.02.26</t>
  </si>
  <si>
    <t>Detail of Casual Labour use in Wheat Grass Plant Month of Feb -2026</t>
  </si>
  <si>
    <t>Detail of Casual Labour use in Plant Month of Feb -2026</t>
  </si>
  <si>
    <t>Detail of Casual Labour use in Canola Plant Month of Mar-2026</t>
  </si>
  <si>
    <t xml:space="preserve">TOTAL </t>
  </si>
  <si>
    <t>01.03.26</t>
  </si>
  <si>
    <t>02.03.26</t>
  </si>
  <si>
    <t>03.03.26</t>
  </si>
  <si>
    <t>04.03.26</t>
  </si>
  <si>
    <t>05.03.26</t>
  </si>
  <si>
    <t>06.03.26</t>
  </si>
  <si>
    <t>07.03.26</t>
  </si>
  <si>
    <t>08.03.26</t>
  </si>
  <si>
    <t>09.03.26</t>
  </si>
  <si>
    <t>10.03.26</t>
  </si>
  <si>
    <t>11.03.26</t>
  </si>
  <si>
    <t>12.03.26</t>
  </si>
  <si>
    <t>13.03.26</t>
  </si>
  <si>
    <t>14.03.26</t>
  </si>
  <si>
    <t>15.03.26</t>
  </si>
  <si>
    <t>16.03.26</t>
  </si>
  <si>
    <t>17.03.26</t>
  </si>
  <si>
    <t>18.03.26</t>
  </si>
  <si>
    <t>19.03.26</t>
  </si>
  <si>
    <t>20.03.26</t>
  </si>
  <si>
    <t>21.03.26</t>
  </si>
  <si>
    <t>22.03.26</t>
  </si>
  <si>
    <t>23.03.26</t>
  </si>
  <si>
    <t>24.03.26</t>
  </si>
  <si>
    <t>25.03.26</t>
  </si>
  <si>
    <t>26.03.26</t>
  </si>
  <si>
    <t>27.03.26</t>
  </si>
  <si>
    <t>28.03.26</t>
  </si>
  <si>
    <t>29.03.26</t>
  </si>
  <si>
    <t>30.03.26</t>
  </si>
  <si>
    <t>31.03.26</t>
  </si>
  <si>
    <t>Detail of Casual Labour use in Wheat Grass Plant Month of Mar -2026</t>
  </si>
  <si>
    <t>Detail of Casual Labour use in Plant Month of Mar -2026</t>
  </si>
  <si>
    <t xml:space="preserve"> </t>
  </si>
  <si>
    <t>Detail of Casual Labour use in Canola Plant Month of Apr-2026</t>
  </si>
  <si>
    <t>01.04.26</t>
  </si>
  <si>
    <t>02.04.26</t>
  </si>
  <si>
    <t>03.04.26</t>
  </si>
  <si>
    <t>04.04.26</t>
  </si>
  <si>
    <t>05.04.26</t>
  </si>
  <si>
    <t>06.04.26</t>
  </si>
  <si>
    <t>07.04.26</t>
  </si>
  <si>
    <t>08.04.26</t>
  </si>
  <si>
    <t>09.04.26</t>
  </si>
  <si>
    <t>10.04.26</t>
  </si>
  <si>
    <t>11.04.26</t>
  </si>
  <si>
    <t>12.04.26</t>
  </si>
  <si>
    <t>13.04.26</t>
  </si>
  <si>
    <t>14.04.26</t>
  </si>
  <si>
    <t>15.04.26</t>
  </si>
  <si>
    <t>16.04.26</t>
  </si>
  <si>
    <t>17.04.26</t>
  </si>
  <si>
    <t>18.04.26</t>
  </si>
  <si>
    <t>19.04.26</t>
  </si>
  <si>
    <t>20.04.26</t>
  </si>
  <si>
    <t>21.04.26</t>
  </si>
  <si>
    <t>22.04.26</t>
  </si>
  <si>
    <t>23.04.26</t>
  </si>
  <si>
    <t>24.04.26</t>
  </si>
  <si>
    <t>25.04.26</t>
  </si>
  <si>
    <t>26.04.26</t>
  </si>
  <si>
    <t>27.04.26</t>
  </si>
  <si>
    <t>28.04.26</t>
  </si>
  <si>
    <t>29.04.26</t>
  </si>
  <si>
    <t>30.04.26</t>
  </si>
  <si>
    <t>Detail of Casual Labour use in Wheat Grass Plant Month of Apr -2026</t>
  </si>
  <si>
    <t>Detail of Casual Labour use in Plant Month of Apr -2026</t>
  </si>
  <si>
    <t>Detail of Casual Labour use in Canola Plant Month of May-2026</t>
  </si>
  <si>
    <t>Nheem</t>
  </si>
  <si>
    <t>01.05.26</t>
  </si>
  <si>
    <t>02.05.26</t>
  </si>
  <si>
    <t>03.05.26</t>
  </si>
  <si>
    <t>04.05.26</t>
  </si>
  <si>
    <t>05.05.26</t>
  </si>
  <si>
    <t>06.05.26</t>
  </si>
  <si>
    <t>07.05.26</t>
  </si>
  <si>
    <t>08.05.26</t>
  </si>
  <si>
    <t>09.05.26</t>
  </si>
  <si>
    <t>10.05.26</t>
  </si>
  <si>
    <t>11.05.26</t>
  </si>
  <si>
    <t>12.05.26</t>
  </si>
  <si>
    <t>13.05.26</t>
  </si>
  <si>
    <t>14.05.26</t>
  </si>
  <si>
    <t>15.05.26</t>
  </si>
  <si>
    <t>16.05.26</t>
  </si>
  <si>
    <t>17.05.26</t>
  </si>
  <si>
    <t>18.05.26</t>
  </si>
  <si>
    <t>19.05.26</t>
  </si>
  <si>
    <t>20.05.26</t>
  </si>
  <si>
    <t>21.05.26</t>
  </si>
  <si>
    <t>22.05.26</t>
  </si>
  <si>
    <t>23.05.26</t>
  </si>
  <si>
    <t>24.05.26</t>
  </si>
  <si>
    <t>25.05.26</t>
  </si>
  <si>
    <t>26.05.26</t>
  </si>
  <si>
    <t>27.05.26</t>
  </si>
  <si>
    <t>28.05.26</t>
  </si>
  <si>
    <t>29.05.26</t>
  </si>
  <si>
    <t>30.05.26</t>
  </si>
  <si>
    <t>31.05.26</t>
  </si>
  <si>
    <t>Detail of Casual Labour use in Wheat Grass Plant Month of May -2026</t>
  </si>
  <si>
    <t>Detail of Casual Labour use in Plant Month of May -2026</t>
  </si>
  <si>
    <t>01.06.26</t>
  </si>
  <si>
    <t>02.06.26</t>
  </si>
  <si>
    <t>03.06.26</t>
  </si>
  <si>
    <t>04.06.26</t>
  </si>
  <si>
    <t>05.06.26</t>
  </si>
  <si>
    <t>06.06.26</t>
  </si>
  <si>
    <t>07.06.26</t>
  </si>
  <si>
    <t>08.06.26</t>
  </si>
  <si>
    <t>09.06.26</t>
  </si>
  <si>
    <t>10.06.26</t>
  </si>
  <si>
    <t>11.06.26</t>
  </si>
  <si>
    <t>12.06.26</t>
  </si>
  <si>
    <t>13.06.26</t>
  </si>
  <si>
    <t>14.06.26</t>
  </si>
  <si>
    <t>15.06.26</t>
  </si>
  <si>
    <t>16.06.26</t>
  </si>
  <si>
    <t>17.06.26</t>
  </si>
  <si>
    <t>18.06.26</t>
  </si>
  <si>
    <t>19.06.26</t>
  </si>
  <si>
    <t>20.06.26</t>
  </si>
  <si>
    <t>21.06.26</t>
  </si>
  <si>
    <t>22.06.26</t>
  </si>
  <si>
    <t>23.06.26</t>
  </si>
  <si>
    <t>24.06.26</t>
  </si>
  <si>
    <t>25.06.26</t>
  </si>
  <si>
    <t>27.06.26</t>
  </si>
  <si>
    <t>28.06.26</t>
  </si>
  <si>
    <t>29.06.26</t>
  </si>
  <si>
    <t>30.06.26</t>
  </si>
  <si>
    <t>26.06.26</t>
  </si>
  <si>
    <t>Detail of Casual Labour use in Canola Plant Month of June-2026</t>
  </si>
  <si>
    <t>Detail of Casual Labour use in Plant Month of June -2026</t>
  </si>
  <si>
    <t>Detail of Casual Labour use in Wheat Grass Plant Month of June-2026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</si>
</sst>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</font>
    <font>
      <u/>
      <sz val="11"/>
      <color theme="10"/>
      <name val="Calibri"/>
      <charset val="134"/>
      <scheme val="minor"/>
    </font>
    <font>
      <b/>
      <sz val="11"/>
      <color theme="1"/>
      <name val="Calibri"/>
      <charset val="134"/>
    </font>
    <font>
      <sz val="10"/>
      <color theme="1"/>
      <name val="Arial"/>
      <charset val="134"/>
    </font>
    <font>
      <sz val="11"/>
      <color theme="1"/>
      <name val="Calibri"/>
      <charset val="134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CCCCCC"/>
      </left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8">
    <xf numFmtId="0" fontId="0" fillId="0" borderId="0" xfId="0"/>
    <xf numFmtId="0" fontId="0" fillId="0" borderId="0" xfId="0" applyAlignment="1">
      <alignment wrapText="1"/>
    </xf>
    <xf numFmtId="0" fontId="2" fillId="0" borderId="4" xfId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4" fillId="0" borderId="4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3" fillId="0" borderId="5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2" fillId="0" borderId="9" xfId="1" applyBorder="1" applyAlignment="1">
      <alignment horizontal="center" vertical="top"/>
    </xf>
    <xf numFmtId="0" fontId="3" fillId="0" borderId="10" xfId="0" applyFont="1" applyBorder="1" applyAlignment="1">
      <alignment horizontal="center" vertical="top"/>
    </xf>
    <xf numFmtId="0" fontId="4" fillId="0" borderId="4" xfId="0" applyFont="1" applyBorder="1"/>
    <xf numFmtId="0" fontId="4" fillId="0" borderId="5" xfId="0" applyFont="1" applyBorder="1"/>
    <xf numFmtId="0" fontId="3" fillId="0" borderId="5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2" fillId="0" borderId="9" xfId="1" applyBorder="1" applyAlignment="1">
      <alignment horizontal="center" vertical="top" wrapText="1"/>
    </xf>
    <xf numFmtId="0" fontId="3" fillId="0" borderId="10" xfId="0" applyFont="1" applyBorder="1" applyAlignment="1">
      <alignment horizontal="center" vertical="top" wrapText="1"/>
    </xf>
    <xf numFmtId="0" fontId="2" fillId="0" borderId="4" xfId="1" applyBorder="1" applyAlignment="1">
      <alignment horizontal="center" vertical="top"/>
    </xf>
    <xf numFmtId="0" fontId="3" fillId="0" borderId="5" xfId="0" applyFont="1" applyBorder="1" applyAlignment="1">
      <alignment horizontal="center" vertical="top"/>
    </xf>
    <xf numFmtId="0" fontId="5" fillId="0" borderId="16" xfId="0" applyFont="1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/>
    <xf numFmtId="0" fontId="5" fillId="0" borderId="18" xfId="0" applyFont="1" applyBorder="1" applyAlignment="1">
      <alignment horizontal="center" wrapText="1"/>
    </xf>
    <xf numFmtId="0" fontId="4" fillId="0" borderId="19" xfId="0" applyFont="1" applyBorder="1" applyAlignment="1">
      <alignment wrapText="1"/>
    </xf>
    <xf numFmtId="0" fontId="3" fillId="0" borderId="19" xfId="0" applyFont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0" fontId="5" fillId="0" borderId="15" xfId="0" applyFont="1" applyBorder="1" applyAlignment="1">
      <alignment horizontal="center" wrapText="1"/>
    </xf>
    <xf numFmtId="0" fontId="2" fillId="0" borderId="8" xfId="1" applyBorder="1" applyAlignment="1">
      <alignment horizontal="center" vertical="top"/>
    </xf>
    <xf numFmtId="0" fontId="3" fillId="0" borderId="8" xfId="0" applyFont="1" applyBorder="1" applyAlignment="1">
      <alignment horizontal="center" vertical="top"/>
    </xf>
    <xf numFmtId="0" fontId="4" fillId="0" borderId="8" xfId="0" applyFont="1" applyBorder="1"/>
    <xf numFmtId="0" fontId="3" fillId="0" borderId="8" xfId="0" applyFont="1" applyBorder="1" applyAlignment="1">
      <alignment horizontal="center"/>
    </xf>
    <xf numFmtId="0" fontId="5" fillId="0" borderId="8" xfId="0" applyFont="1" applyBorder="1" applyAlignment="1">
      <alignment horizontal="center" wrapText="1"/>
    </xf>
    <xf numFmtId="0" fontId="4" fillId="0" borderId="8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3" fillId="0" borderId="6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wrapText="1"/>
    </xf>
    <xf numFmtId="0" fontId="3" fillId="0" borderId="11" xfId="0" applyFont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 wrapText="1"/>
    </xf>
    <xf numFmtId="0" fontId="1" fillId="0" borderId="17" xfId="0" applyFont="1" applyBorder="1" applyAlignment="1">
      <alignment horizontal="center" wrapText="1"/>
    </xf>
    <xf numFmtId="0" fontId="1" fillId="0" borderId="8" xfId="0" applyFont="1" applyBorder="1" applyAlignment="1">
      <alignment horizontal="center"/>
    </xf>
    <xf numFmtId="0" fontId="3" fillId="0" borderId="11" xfId="0" applyFont="1" applyBorder="1" applyAlignment="1">
      <alignment horizontal="center" vertical="top"/>
    </xf>
    <xf numFmtId="0" fontId="3" fillId="0" borderId="12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3" fillId="0" borderId="6" xfId="0" applyFont="1" applyBorder="1" applyAlignment="1">
      <alignment horizontal="center" vertical="top"/>
    </xf>
    <xf numFmtId="0" fontId="3" fillId="0" borderId="7" xfId="0" applyFont="1" applyBorder="1" applyAlignment="1">
      <alignment horizontal="center" vertical="top"/>
    </xf>
    <xf numFmtId="0" fontId="3" fillId="0" borderId="8" xfId="0" applyFont="1" applyBorder="1" applyAlignment="1">
      <alignment horizontal="center" vertical="top"/>
    </xf>
    <xf numFmtId="0" fontId="3" fillId="0" borderId="8" xfId="0" applyFont="1" applyBorder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6"/>
  <sheetViews>
    <sheetView topLeftCell="B1" workbookViewId="0">
      <pane ySplit="3" topLeftCell="A8" activePane="bottomLeft" state="frozen"/>
      <selection pane="bottomLeft" activeCell="W16" sqref="W16"/>
    </sheetView>
  </sheetViews>
  <sheetFormatPr defaultColWidth="9" defaultRowHeight="15"/>
  <cols>
    <col min="2" max="2" width="8.140625" customWidth="1"/>
    <col min="3" max="3" width="7.5703125" customWidth="1"/>
    <col min="4" max="4" width="6.28515625" customWidth="1"/>
    <col min="5" max="5" width="5.5703125" customWidth="1"/>
    <col min="6" max="7" width="6.28515625" customWidth="1"/>
    <col min="8" max="8" width="7.42578125" customWidth="1"/>
    <col min="9" max="9" width="6.140625" customWidth="1"/>
    <col min="10" max="10" width="6.85546875" customWidth="1"/>
    <col min="11" max="11" width="5.42578125" customWidth="1"/>
    <col min="12" max="12" width="6.140625" customWidth="1"/>
    <col min="13" max="13" width="5.42578125" customWidth="1"/>
    <col min="14" max="14" width="5.85546875" customWidth="1"/>
    <col min="15" max="15" width="6" customWidth="1"/>
    <col min="16" max="16" width="5.7109375" customWidth="1"/>
    <col min="17" max="17" width="5.5703125" customWidth="1"/>
    <col min="18" max="18" width="5.85546875" customWidth="1"/>
    <col min="19" max="19" width="5.140625" customWidth="1"/>
    <col min="20" max="20" width="6.42578125" customWidth="1"/>
  </cols>
  <sheetData>
    <row r="1" spans="1:20" ht="18.7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40"/>
    </row>
    <row r="2" spans="1:20" ht="15.75" customHeight="1">
      <c r="A2" s="2" t="s">
        <v>1</v>
      </c>
      <c r="B2" s="3" t="s">
        <v>2</v>
      </c>
      <c r="C2" s="41" t="s">
        <v>3</v>
      </c>
      <c r="D2" s="42"/>
      <c r="E2" s="41" t="s">
        <v>4</v>
      </c>
      <c r="F2" s="42"/>
      <c r="G2" s="41" t="s">
        <v>5</v>
      </c>
      <c r="H2" s="42"/>
      <c r="I2" s="41" t="s">
        <v>6</v>
      </c>
      <c r="J2" s="42"/>
      <c r="K2" s="41" t="s">
        <v>7</v>
      </c>
      <c r="L2" s="42"/>
      <c r="M2" s="41" t="s">
        <v>8</v>
      </c>
      <c r="N2" s="42"/>
      <c r="O2" s="41" t="s">
        <v>9</v>
      </c>
      <c r="P2" s="42"/>
      <c r="Q2" s="41" t="s">
        <v>10</v>
      </c>
      <c r="R2" s="42"/>
      <c r="S2" s="41" t="s">
        <v>11</v>
      </c>
      <c r="T2" s="42"/>
    </row>
    <row r="3" spans="1:20" ht="15.75" customHeight="1">
      <c r="A3" s="4"/>
      <c r="B3" s="5"/>
      <c r="C3" s="6" t="s">
        <v>12</v>
      </c>
      <c r="D3" s="6" t="s">
        <v>13</v>
      </c>
      <c r="E3" s="6" t="s">
        <v>12</v>
      </c>
      <c r="F3" s="6" t="s">
        <v>13</v>
      </c>
      <c r="G3" s="6" t="s">
        <v>12</v>
      </c>
      <c r="H3" s="6" t="s">
        <v>13</v>
      </c>
      <c r="I3" s="6" t="s">
        <v>12</v>
      </c>
      <c r="J3" s="6" t="s">
        <v>13</v>
      </c>
      <c r="K3" s="6" t="s">
        <v>12</v>
      </c>
      <c r="L3" s="6" t="s">
        <v>13</v>
      </c>
      <c r="M3" s="6" t="s">
        <v>12</v>
      </c>
      <c r="N3" s="6" t="s">
        <v>13</v>
      </c>
      <c r="O3" s="6" t="s">
        <v>12</v>
      </c>
      <c r="P3" s="6" t="s">
        <v>13</v>
      </c>
      <c r="Q3" s="6" t="s">
        <v>12</v>
      </c>
      <c r="R3" s="6" t="s">
        <v>13</v>
      </c>
      <c r="S3" s="6" t="s">
        <v>12</v>
      </c>
      <c r="T3" s="6" t="s">
        <v>13</v>
      </c>
    </row>
    <row r="4" spans="1:20" ht="18" customHeight="1">
      <c r="A4" s="7">
        <v>1</v>
      </c>
      <c r="B4" s="8" t="s">
        <v>14</v>
      </c>
      <c r="C4" s="8">
        <v>9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7</v>
      </c>
      <c r="N4" s="8">
        <v>0</v>
      </c>
      <c r="O4" s="8">
        <v>14</v>
      </c>
      <c r="P4" s="8">
        <v>0</v>
      </c>
      <c r="Q4" s="8">
        <v>2</v>
      </c>
      <c r="R4" s="8">
        <v>0</v>
      </c>
      <c r="S4" s="8">
        <v>45</v>
      </c>
      <c r="T4" s="8">
        <v>0</v>
      </c>
    </row>
    <row r="5" spans="1:20">
      <c r="A5" s="7">
        <v>2</v>
      </c>
      <c r="B5" s="8" t="s">
        <v>15</v>
      </c>
      <c r="C5" s="8">
        <v>3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9</v>
      </c>
      <c r="N5" s="8">
        <v>0</v>
      </c>
      <c r="O5" s="8">
        <v>14</v>
      </c>
      <c r="P5" s="8">
        <v>0</v>
      </c>
      <c r="Q5" s="8">
        <v>11</v>
      </c>
      <c r="R5" s="8">
        <v>0</v>
      </c>
      <c r="S5" s="8">
        <v>45</v>
      </c>
      <c r="T5" s="8">
        <v>0</v>
      </c>
    </row>
    <row r="6" spans="1:20">
      <c r="A6" s="7">
        <v>3</v>
      </c>
      <c r="B6" s="8" t="s">
        <v>16</v>
      </c>
      <c r="C6" s="8">
        <v>9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10</v>
      </c>
      <c r="N6" s="8">
        <v>0</v>
      </c>
      <c r="O6" s="8">
        <v>16</v>
      </c>
      <c r="P6" s="8">
        <v>0</v>
      </c>
      <c r="Q6" s="8">
        <v>10</v>
      </c>
      <c r="R6" s="8">
        <v>0</v>
      </c>
      <c r="S6" s="8">
        <v>52</v>
      </c>
      <c r="T6" s="8">
        <v>0</v>
      </c>
    </row>
    <row r="7" spans="1:20">
      <c r="A7" s="7">
        <v>4</v>
      </c>
      <c r="B7" s="8" t="s">
        <v>17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 spans="1:20">
      <c r="A8" s="7">
        <v>5</v>
      </c>
      <c r="B8" s="8" t="s">
        <v>18</v>
      </c>
      <c r="C8" s="8">
        <v>10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9</v>
      </c>
      <c r="N8" s="8">
        <v>0</v>
      </c>
      <c r="O8" s="8">
        <v>9</v>
      </c>
      <c r="P8" s="8">
        <v>0</v>
      </c>
      <c r="Q8" s="8">
        <v>15</v>
      </c>
      <c r="R8" s="8">
        <v>0</v>
      </c>
      <c r="S8" s="8">
        <v>53</v>
      </c>
      <c r="T8" s="8">
        <v>0</v>
      </c>
    </row>
    <row r="9" spans="1:20">
      <c r="A9" s="7">
        <v>6</v>
      </c>
      <c r="B9" s="8" t="s">
        <v>19</v>
      </c>
      <c r="C9" s="8">
        <v>9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8</v>
      </c>
      <c r="N9" s="8">
        <v>0</v>
      </c>
      <c r="O9" s="8">
        <v>6</v>
      </c>
      <c r="P9" s="8">
        <v>0</v>
      </c>
      <c r="Q9" s="8">
        <v>0</v>
      </c>
      <c r="R9" s="8">
        <v>0</v>
      </c>
      <c r="S9" s="8">
        <v>40</v>
      </c>
      <c r="T9" s="8">
        <v>0</v>
      </c>
    </row>
    <row r="10" spans="1:20">
      <c r="A10" s="7">
        <v>7</v>
      </c>
      <c r="B10" s="8" t="s">
        <v>20</v>
      </c>
      <c r="C10" s="8">
        <v>11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12</v>
      </c>
      <c r="N10" s="8">
        <v>0</v>
      </c>
      <c r="O10" s="8">
        <v>12</v>
      </c>
      <c r="P10" s="8">
        <v>7</v>
      </c>
      <c r="Q10" s="8">
        <v>12</v>
      </c>
      <c r="R10" s="8">
        <v>0</v>
      </c>
      <c r="S10" s="8">
        <v>37</v>
      </c>
      <c r="T10" s="8">
        <v>1</v>
      </c>
    </row>
    <row r="11" spans="1:20">
      <c r="A11" s="7">
        <v>8</v>
      </c>
      <c r="B11" s="8" t="s">
        <v>21</v>
      </c>
      <c r="C11" s="8">
        <v>10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12</v>
      </c>
      <c r="N11" s="8">
        <v>0</v>
      </c>
      <c r="O11" s="8">
        <v>4</v>
      </c>
      <c r="P11" s="8">
        <v>0</v>
      </c>
      <c r="Q11" s="8">
        <v>11</v>
      </c>
      <c r="R11" s="8">
        <v>0</v>
      </c>
      <c r="S11" s="8">
        <v>43</v>
      </c>
      <c r="T11" s="8">
        <v>0</v>
      </c>
    </row>
    <row r="12" spans="1:20">
      <c r="A12" s="7">
        <v>9</v>
      </c>
      <c r="B12" s="8" t="s">
        <v>22</v>
      </c>
      <c r="C12" s="8">
        <v>8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13</v>
      </c>
      <c r="N12" s="8">
        <v>0</v>
      </c>
      <c r="O12" s="8">
        <v>12</v>
      </c>
      <c r="P12" s="8">
        <v>0</v>
      </c>
      <c r="Q12" s="8">
        <v>8</v>
      </c>
      <c r="R12" s="8">
        <v>0</v>
      </c>
      <c r="S12" s="8">
        <v>42</v>
      </c>
      <c r="T12" s="8">
        <v>0</v>
      </c>
    </row>
    <row r="13" spans="1:20">
      <c r="A13" s="7">
        <v>10</v>
      </c>
      <c r="B13" s="8" t="s">
        <v>23</v>
      </c>
      <c r="C13" s="8">
        <v>9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14</v>
      </c>
      <c r="N13" s="8">
        <v>0</v>
      </c>
      <c r="O13" s="8">
        <v>14</v>
      </c>
      <c r="P13" s="8">
        <v>0</v>
      </c>
      <c r="Q13" s="8">
        <v>8</v>
      </c>
      <c r="R13" s="8">
        <v>0</v>
      </c>
      <c r="S13" s="8">
        <v>40</v>
      </c>
      <c r="T13" s="8">
        <v>0</v>
      </c>
    </row>
    <row r="14" spans="1:20">
      <c r="A14" s="7">
        <v>11</v>
      </c>
      <c r="B14" s="8" t="s">
        <v>24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>
        <v>4</v>
      </c>
      <c r="P14" s="8"/>
      <c r="Q14" s="8"/>
      <c r="R14" s="8"/>
      <c r="S14" s="8"/>
      <c r="T14" s="8"/>
    </row>
    <row r="15" spans="1:20">
      <c r="A15" s="7">
        <v>12</v>
      </c>
      <c r="B15" s="8" t="s">
        <v>25</v>
      </c>
      <c r="C15" s="8">
        <v>12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11</v>
      </c>
      <c r="N15" s="8">
        <v>0</v>
      </c>
      <c r="O15" s="8">
        <v>10</v>
      </c>
      <c r="P15" s="8">
        <v>15</v>
      </c>
      <c r="Q15" s="8">
        <v>10</v>
      </c>
      <c r="R15" s="8">
        <v>0</v>
      </c>
      <c r="S15" s="8">
        <v>33</v>
      </c>
      <c r="T15" s="8">
        <v>1</v>
      </c>
    </row>
    <row r="16" spans="1:20">
      <c r="A16" s="7">
        <v>13</v>
      </c>
      <c r="B16" s="8" t="s">
        <v>26</v>
      </c>
      <c r="C16" s="8">
        <v>10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13</v>
      </c>
      <c r="N16" s="8">
        <v>0</v>
      </c>
      <c r="O16" s="8">
        <v>9</v>
      </c>
      <c r="P16" s="8">
        <v>15</v>
      </c>
      <c r="Q16" s="8">
        <v>13</v>
      </c>
      <c r="R16" s="8">
        <v>0</v>
      </c>
      <c r="S16" s="8">
        <v>40</v>
      </c>
      <c r="T16" s="8">
        <v>1</v>
      </c>
    </row>
    <row r="17" spans="1:21">
      <c r="A17" s="7">
        <v>14</v>
      </c>
      <c r="B17" s="8" t="s">
        <v>27</v>
      </c>
      <c r="C17" s="8">
        <v>8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11</v>
      </c>
      <c r="N17" s="8">
        <v>0</v>
      </c>
      <c r="O17" s="8">
        <v>7</v>
      </c>
      <c r="P17" s="8">
        <v>15</v>
      </c>
      <c r="Q17" s="8">
        <v>12</v>
      </c>
      <c r="R17" s="8">
        <v>0</v>
      </c>
      <c r="S17" s="8">
        <v>36</v>
      </c>
      <c r="T17" s="8">
        <v>2</v>
      </c>
    </row>
    <row r="18" spans="1:21">
      <c r="A18" s="7">
        <v>15</v>
      </c>
      <c r="B18" s="8" t="s">
        <v>28</v>
      </c>
      <c r="C18" s="8">
        <v>9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13</v>
      </c>
      <c r="N18" s="8">
        <v>0</v>
      </c>
      <c r="O18" s="8">
        <v>7</v>
      </c>
      <c r="P18" s="8">
        <v>15</v>
      </c>
      <c r="Q18" s="8">
        <v>11</v>
      </c>
      <c r="R18" s="8">
        <v>0</v>
      </c>
      <c r="S18" s="8">
        <v>34</v>
      </c>
      <c r="T18" s="8">
        <v>2</v>
      </c>
    </row>
    <row r="19" spans="1:21">
      <c r="A19" s="7">
        <v>16</v>
      </c>
      <c r="B19" s="8" t="s">
        <v>29</v>
      </c>
      <c r="C19" s="8">
        <v>9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13</v>
      </c>
      <c r="N19" s="8">
        <v>0</v>
      </c>
      <c r="O19" s="8">
        <v>8</v>
      </c>
      <c r="P19" s="8">
        <v>15</v>
      </c>
      <c r="Q19" s="8">
        <v>12</v>
      </c>
      <c r="R19" s="8">
        <v>0</v>
      </c>
      <c r="S19" s="8">
        <v>32</v>
      </c>
      <c r="T19" s="8">
        <v>2</v>
      </c>
    </row>
    <row r="20" spans="1:21">
      <c r="A20" s="7">
        <v>17</v>
      </c>
      <c r="B20" s="8" t="s">
        <v>30</v>
      </c>
      <c r="C20" s="8">
        <v>11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20</v>
      </c>
      <c r="N20" s="8">
        <v>0</v>
      </c>
      <c r="O20" s="8">
        <v>8</v>
      </c>
      <c r="P20" s="8">
        <v>16</v>
      </c>
      <c r="Q20" s="8">
        <v>14</v>
      </c>
      <c r="R20" s="8">
        <v>0</v>
      </c>
      <c r="S20" s="8">
        <v>37</v>
      </c>
      <c r="T20" s="8">
        <v>2</v>
      </c>
    </row>
    <row r="21" spans="1:21">
      <c r="A21" s="7">
        <v>18</v>
      </c>
      <c r="B21" s="8" t="s">
        <v>31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 spans="1:21">
      <c r="A22" s="7">
        <v>19</v>
      </c>
      <c r="B22" s="8" t="s">
        <v>32</v>
      </c>
      <c r="C22" s="8">
        <v>10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21</v>
      </c>
      <c r="N22" s="8">
        <v>0</v>
      </c>
      <c r="O22" s="8">
        <v>6</v>
      </c>
      <c r="P22" s="8">
        <v>17</v>
      </c>
      <c r="Q22" s="8">
        <v>8</v>
      </c>
      <c r="R22" s="8">
        <v>0</v>
      </c>
      <c r="S22" s="8">
        <v>42</v>
      </c>
      <c r="T22" s="8">
        <v>2</v>
      </c>
    </row>
    <row r="23" spans="1:21">
      <c r="A23" s="7">
        <v>20</v>
      </c>
      <c r="B23" s="8" t="s">
        <v>33</v>
      </c>
      <c r="C23" s="8">
        <v>12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22</v>
      </c>
      <c r="N23" s="8">
        <v>0</v>
      </c>
      <c r="O23" s="8">
        <v>7</v>
      </c>
      <c r="P23" s="8">
        <v>15</v>
      </c>
      <c r="Q23" s="8">
        <v>13</v>
      </c>
      <c r="R23" s="8">
        <v>0</v>
      </c>
      <c r="S23" s="8">
        <v>38</v>
      </c>
      <c r="T23" s="8">
        <v>2</v>
      </c>
    </row>
    <row r="24" spans="1:21">
      <c r="A24" s="7">
        <v>21</v>
      </c>
      <c r="B24" s="8" t="s">
        <v>34</v>
      </c>
      <c r="C24" s="8">
        <v>11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15</v>
      </c>
      <c r="N24" s="8">
        <v>0</v>
      </c>
      <c r="O24" s="8">
        <v>10</v>
      </c>
      <c r="P24" s="8">
        <v>17</v>
      </c>
      <c r="Q24" s="8">
        <v>13</v>
      </c>
      <c r="R24" s="8">
        <v>0</v>
      </c>
      <c r="S24" s="8">
        <v>37</v>
      </c>
      <c r="T24" s="8">
        <v>2</v>
      </c>
    </row>
    <row r="25" spans="1:21">
      <c r="A25" s="7">
        <v>22</v>
      </c>
      <c r="B25" s="8" t="s">
        <v>35</v>
      </c>
      <c r="C25" s="8">
        <v>12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19</v>
      </c>
      <c r="N25" s="8">
        <v>0</v>
      </c>
      <c r="O25" s="8">
        <v>12</v>
      </c>
      <c r="P25" s="8">
        <v>19</v>
      </c>
      <c r="Q25" s="8">
        <v>14</v>
      </c>
      <c r="R25" s="8">
        <v>0</v>
      </c>
      <c r="S25" s="8">
        <v>33</v>
      </c>
      <c r="T25" s="8">
        <v>2</v>
      </c>
      <c r="U25" s="30"/>
    </row>
    <row r="26" spans="1:21">
      <c r="A26" s="7">
        <v>23</v>
      </c>
      <c r="B26" s="8" t="s">
        <v>36</v>
      </c>
      <c r="C26" s="8">
        <v>11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20</v>
      </c>
      <c r="N26" s="8">
        <v>0</v>
      </c>
      <c r="O26" s="8">
        <v>8</v>
      </c>
      <c r="P26" s="8">
        <v>17</v>
      </c>
      <c r="Q26" s="8">
        <v>9</v>
      </c>
      <c r="R26" s="8">
        <v>0</v>
      </c>
      <c r="S26" s="8">
        <v>37</v>
      </c>
      <c r="T26" s="8">
        <v>2</v>
      </c>
    </row>
    <row r="27" spans="1:21">
      <c r="A27" s="7">
        <v>24</v>
      </c>
      <c r="B27" s="8" t="s">
        <v>37</v>
      </c>
      <c r="C27" s="8">
        <v>11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14</v>
      </c>
      <c r="N27" s="8">
        <v>0</v>
      </c>
      <c r="O27" s="8">
        <v>11</v>
      </c>
      <c r="P27" s="8">
        <v>20</v>
      </c>
      <c r="Q27" s="8">
        <v>13</v>
      </c>
      <c r="R27" s="8">
        <v>0</v>
      </c>
      <c r="S27" s="8">
        <v>35</v>
      </c>
      <c r="T27" s="8">
        <v>4</v>
      </c>
    </row>
    <row r="28" spans="1:21">
      <c r="A28" s="7">
        <v>25</v>
      </c>
      <c r="B28" s="8" t="s">
        <v>38</v>
      </c>
      <c r="C28" s="8">
        <v>11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17</v>
      </c>
      <c r="N28" s="8">
        <v>0</v>
      </c>
      <c r="O28" s="8">
        <v>5</v>
      </c>
      <c r="P28" s="8">
        <v>0</v>
      </c>
      <c r="Q28" s="8">
        <v>12</v>
      </c>
      <c r="R28" s="8">
        <v>0</v>
      </c>
      <c r="S28" s="8">
        <v>25</v>
      </c>
      <c r="T28" s="8">
        <v>0</v>
      </c>
    </row>
    <row r="29" spans="1:21" ht="15.75" customHeight="1">
      <c r="A29" s="7">
        <v>26</v>
      </c>
      <c r="B29" s="8" t="s">
        <v>39</v>
      </c>
      <c r="C29" s="8" t="s">
        <v>40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</row>
    <row r="30" spans="1:21">
      <c r="A30" s="7">
        <v>27</v>
      </c>
      <c r="B30" s="8" t="s">
        <v>41</v>
      </c>
      <c r="C30" s="8">
        <v>8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13</v>
      </c>
      <c r="N30" s="8">
        <v>0</v>
      </c>
      <c r="O30" s="8">
        <v>10</v>
      </c>
      <c r="P30" s="8">
        <v>19</v>
      </c>
      <c r="Q30" s="8">
        <v>12</v>
      </c>
      <c r="R30" s="8">
        <v>0</v>
      </c>
      <c r="S30" s="8">
        <v>39</v>
      </c>
      <c r="T30" s="8">
        <v>2</v>
      </c>
    </row>
    <row r="31" spans="1:21">
      <c r="A31" s="7">
        <v>28</v>
      </c>
      <c r="B31" s="8" t="s">
        <v>42</v>
      </c>
      <c r="C31" s="8">
        <v>10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14</v>
      </c>
      <c r="N31" s="8">
        <v>0</v>
      </c>
      <c r="O31" s="8">
        <v>8</v>
      </c>
      <c r="P31" s="8">
        <v>19</v>
      </c>
      <c r="Q31" s="8">
        <v>14</v>
      </c>
      <c r="R31" s="8">
        <v>0</v>
      </c>
      <c r="S31" s="8">
        <v>38</v>
      </c>
      <c r="T31" s="8">
        <v>2</v>
      </c>
    </row>
    <row r="32" spans="1:21">
      <c r="A32" s="7">
        <v>29</v>
      </c>
      <c r="B32" s="8" t="s">
        <v>43</v>
      </c>
      <c r="C32" s="8">
        <v>10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18</v>
      </c>
      <c r="N32" s="8">
        <v>0</v>
      </c>
      <c r="O32" s="8">
        <v>8</v>
      </c>
      <c r="P32" s="8">
        <v>18</v>
      </c>
      <c r="Q32" s="8">
        <v>16</v>
      </c>
      <c r="R32" s="8">
        <v>0</v>
      </c>
      <c r="S32" s="8">
        <v>43</v>
      </c>
      <c r="T32" s="8">
        <v>2</v>
      </c>
    </row>
    <row r="33" spans="1:20">
      <c r="A33" s="7">
        <v>30</v>
      </c>
      <c r="B33" s="8" t="s">
        <v>44</v>
      </c>
      <c r="C33" s="8">
        <v>9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19</v>
      </c>
      <c r="N33" s="8">
        <v>0</v>
      </c>
      <c r="O33" s="8">
        <v>7</v>
      </c>
      <c r="P33" s="8">
        <v>19</v>
      </c>
      <c r="Q33" s="8">
        <v>10</v>
      </c>
      <c r="R33" s="8">
        <v>0</v>
      </c>
      <c r="S33" s="8">
        <v>41</v>
      </c>
      <c r="T33" s="8">
        <v>3</v>
      </c>
    </row>
    <row r="34" spans="1:20">
      <c r="A34" s="7">
        <v>31</v>
      </c>
      <c r="B34" s="8" t="s">
        <v>45</v>
      </c>
      <c r="C34" s="8">
        <v>9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13</v>
      </c>
      <c r="N34" s="8">
        <v>0</v>
      </c>
      <c r="O34" s="8">
        <v>9</v>
      </c>
      <c r="P34" s="8">
        <v>17</v>
      </c>
      <c r="Q34" s="8">
        <v>9</v>
      </c>
      <c r="R34" s="8">
        <v>0</v>
      </c>
      <c r="S34" s="8">
        <v>39</v>
      </c>
      <c r="T34" s="8">
        <v>2</v>
      </c>
    </row>
    <row r="35" spans="1:20">
      <c r="A35" s="4"/>
      <c r="B35" s="5"/>
      <c r="C35" s="6">
        <f>SUM(C4:C34)</f>
        <v>261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6">
        <f>SUM(M4:M34)</f>
        <v>380</v>
      </c>
      <c r="N35" s="8">
        <v>0</v>
      </c>
      <c r="O35" s="6">
        <f>SUM(O4:O34)</f>
        <v>255</v>
      </c>
      <c r="P35" s="6">
        <f>SUM(P4:P34)</f>
        <v>295</v>
      </c>
      <c r="Q35" s="6">
        <f>SUM(Q4:Q34)</f>
        <v>292</v>
      </c>
      <c r="R35" s="8">
        <v>0</v>
      </c>
      <c r="S35" s="6">
        <f>SUM(S4:S34)</f>
        <v>1056</v>
      </c>
      <c r="T35" s="6">
        <f>SUM(T4:T34)</f>
        <v>36</v>
      </c>
    </row>
    <row r="36" spans="1:20">
      <c r="A36" s="28"/>
      <c r="B36" s="28"/>
      <c r="C36" s="29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</row>
  </sheetData>
  <mergeCells count="10">
    <mergeCell ref="S2:T2"/>
    <mergeCell ref="A1:R1"/>
    <mergeCell ref="C2:D2"/>
    <mergeCell ref="E2:F2"/>
    <mergeCell ref="G2:H2"/>
    <mergeCell ref="I2:J2"/>
    <mergeCell ref="K2:L2"/>
    <mergeCell ref="M2:N2"/>
    <mergeCell ref="O2:P2"/>
    <mergeCell ref="Q2:R2"/>
  </mergeCells>
  <hyperlinks>
    <hyperlink ref="A2" r:id="rId1" xr:uid="{00000000-0004-0000-0000-000000000000}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6"/>
  <sheetViews>
    <sheetView topLeftCell="A13" workbookViewId="0">
      <selection activeCell="O35" sqref="O35"/>
    </sheetView>
  </sheetViews>
  <sheetFormatPr defaultColWidth="9" defaultRowHeight="15"/>
  <cols>
    <col min="2" max="2" width="8.42578125" customWidth="1"/>
    <col min="3" max="3" width="9.85546875" customWidth="1"/>
    <col min="4" max="4" width="5.5703125" customWidth="1"/>
    <col min="5" max="5" width="6.140625" customWidth="1"/>
    <col min="6" max="6" width="6.85546875" customWidth="1"/>
    <col min="7" max="7" width="5.7109375" customWidth="1"/>
    <col min="8" max="8" width="5.85546875" customWidth="1"/>
    <col min="9" max="9" width="5.42578125" customWidth="1"/>
    <col min="10" max="10" width="5.85546875" customWidth="1"/>
    <col min="11" max="11" width="6.28515625" customWidth="1"/>
    <col min="12" max="12" width="7.28515625" customWidth="1"/>
    <col min="13" max="13" width="5.42578125" customWidth="1"/>
    <col min="14" max="14" width="5.5703125" customWidth="1"/>
    <col min="15" max="15" width="5.28515625" customWidth="1"/>
    <col min="16" max="16" width="6" customWidth="1"/>
    <col min="17" max="17" width="5.7109375" customWidth="1"/>
    <col min="18" max="18" width="5.5703125" customWidth="1"/>
    <col min="19" max="19" width="6.140625" customWidth="1"/>
    <col min="20" max="20" width="6.28515625" customWidth="1"/>
  </cols>
  <sheetData>
    <row r="1" spans="1:20" ht="18.75">
      <c r="A1" s="38" t="s">
        <v>46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40"/>
    </row>
    <row r="2" spans="1:20">
      <c r="A2" s="2" t="s">
        <v>1</v>
      </c>
      <c r="B2" s="3" t="s">
        <v>2</v>
      </c>
      <c r="C2" s="41" t="s">
        <v>3</v>
      </c>
      <c r="D2" s="42"/>
      <c r="E2" s="41" t="s">
        <v>4</v>
      </c>
      <c r="F2" s="42"/>
      <c r="G2" s="41" t="s">
        <v>5</v>
      </c>
      <c r="H2" s="42"/>
      <c r="I2" s="41" t="s">
        <v>6</v>
      </c>
      <c r="J2" s="42"/>
      <c r="K2" s="41" t="s">
        <v>7</v>
      </c>
      <c r="L2" s="42"/>
      <c r="M2" s="41" t="s">
        <v>8</v>
      </c>
      <c r="N2" s="42"/>
      <c r="O2" s="41" t="s">
        <v>9</v>
      </c>
      <c r="P2" s="42"/>
      <c r="Q2" s="41" t="s">
        <v>10</v>
      </c>
      <c r="R2" s="42"/>
      <c r="S2" s="41" t="s">
        <v>11</v>
      </c>
      <c r="T2" s="42"/>
    </row>
    <row r="3" spans="1:20" ht="30">
      <c r="A3" s="4"/>
      <c r="B3" s="5"/>
      <c r="C3" s="6" t="s">
        <v>12</v>
      </c>
      <c r="D3" s="6" t="s">
        <v>13</v>
      </c>
      <c r="E3" s="6" t="s">
        <v>12</v>
      </c>
      <c r="F3" s="6" t="s">
        <v>13</v>
      </c>
      <c r="G3" s="6" t="s">
        <v>12</v>
      </c>
      <c r="H3" s="6" t="s">
        <v>13</v>
      </c>
      <c r="I3" s="6" t="s">
        <v>12</v>
      </c>
      <c r="J3" s="6" t="s">
        <v>13</v>
      </c>
      <c r="K3" s="6" t="s">
        <v>12</v>
      </c>
      <c r="L3" s="6" t="s">
        <v>13</v>
      </c>
      <c r="M3" s="6" t="s">
        <v>12</v>
      </c>
      <c r="N3" s="6" t="s">
        <v>13</v>
      </c>
      <c r="O3" s="6" t="s">
        <v>12</v>
      </c>
      <c r="P3" s="6" t="s">
        <v>13</v>
      </c>
      <c r="Q3" s="6" t="s">
        <v>12</v>
      </c>
      <c r="R3" s="6" t="s">
        <v>13</v>
      </c>
      <c r="S3" s="6" t="s">
        <v>12</v>
      </c>
      <c r="T3" s="6" t="s">
        <v>13</v>
      </c>
    </row>
    <row r="4" spans="1:20">
      <c r="A4" s="7">
        <v>1</v>
      </c>
      <c r="B4" s="8" t="s">
        <v>14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3</v>
      </c>
      <c r="T4" s="8">
        <v>0</v>
      </c>
    </row>
    <row r="5" spans="1:20">
      <c r="A5" s="7">
        <v>2</v>
      </c>
      <c r="B5" s="8" t="s">
        <v>15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15</v>
      </c>
      <c r="T5" s="8">
        <v>0</v>
      </c>
    </row>
    <row r="6" spans="1:20">
      <c r="A6" s="7">
        <v>3</v>
      </c>
      <c r="B6" s="8" t="s">
        <v>16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16</v>
      </c>
      <c r="T6" s="8">
        <v>0</v>
      </c>
    </row>
    <row r="7" spans="1:20">
      <c r="A7" s="7">
        <v>4</v>
      </c>
      <c r="B7" s="8" t="s">
        <v>17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>
        <v>0</v>
      </c>
    </row>
    <row r="8" spans="1:20">
      <c r="A8" s="7">
        <v>5</v>
      </c>
      <c r="B8" s="8" t="s">
        <v>18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4</v>
      </c>
      <c r="T8" s="8">
        <v>0</v>
      </c>
    </row>
    <row r="9" spans="1:20">
      <c r="A9" s="7">
        <v>6</v>
      </c>
      <c r="B9" s="8" t="s">
        <v>19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4</v>
      </c>
      <c r="P9" s="8">
        <v>0</v>
      </c>
      <c r="Q9" s="8">
        <v>0</v>
      </c>
      <c r="R9" s="8">
        <v>0</v>
      </c>
      <c r="S9" s="8">
        <v>4</v>
      </c>
      <c r="T9" s="8">
        <v>0</v>
      </c>
    </row>
    <row r="10" spans="1:20">
      <c r="A10" s="7">
        <v>7</v>
      </c>
      <c r="B10" s="8" t="s">
        <v>20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4</v>
      </c>
      <c r="T10" s="8">
        <v>0</v>
      </c>
    </row>
    <row r="11" spans="1:20">
      <c r="A11" s="7">
        <v>8</v>
      </c>
      <c r="B11" s="8" t="s">
        <v>21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4</v>
      </c>
      <c r="T11" s="8">
        <v>0</v>
      </c>
    </row>
    <row r="12" spans="1:20">
      <c r="A12" s="7">
        <v>9</v>
      </c>
      <c r="B12" s="8" t="s">
        <v>22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4</v>
      </c>
      <c r="T12" s="8">
        <v>0</v>
      </c>
    </row>
    <row r="13" spans="1:20">
      <c r="A13" s="7">
        <v>10</v>
      </c>
      <c r="B13" s="8" t="s">
        <v>23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6</v>
      </c>
      <c r="T13" s="8">
        <v>0</v>
      </c>
    </row>
    <row r="14" spans="1:20">
      <c r="A14" s="7">
        <v>11</v>
      </c>
      <c r="B14" s="8" t="s">
        <v>24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>
        <v>0</v>
      </c>
    </row>
    <row r="15" spans="1:20">
      <c r="A15" s="7">
        <v>12</v>
      </c>
      <c r="B15" s="8" t="s">
        <v>25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2</v>
      </c>
      <c r="T15" s="8">
        <v>0</v>
      </c>
    </row>
    <row r="16" spans="1:20">
      <c r="A16" s="7">
        <v>13</v>
      </c>
      <c r="B16" s="8" t="s">
        <v>26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3</v>
      </c>
      <c r="T16" s="8">
        <v>0</v>
      </c>
    </row>
    <row r="17" spans="1:20">
      <c r="A17" s="7">
        <v>14</v>
      </c>
      <c r="B17" s="8" t="s">
        <v>27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1</v>
      </c>
      <c r="P17" s="8">
        <v>0</v>
      </c>
      <c r="Q17" s="8">
        <v>0</v>
      </c>
      <c r="R17" s="8">
        <v>0</v>
      </c>
      <c r="S17" s="8">
        <v>3</v>
      </c>
      <c r="T17" s="8">
        <v>0</v>
      </c>
    </row>
    <row r="18" spans="1:20">
      <c r="A18" s="7">
        <v>15</v>
      </c>
      <c r="B18" s="8" t="s">
        <v>28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5</v>
      </c>
      <c r="N18" s="8">
        <v>0</v>
      </c>
      <c r="O18" s="8">
        <v>0</v>
      </c>
      <c r="P18" s="8">
        <v>0</v>
      </c>
      <c r="Q18" s="8">
        <v>4</v>
      </c>
      <c r="R18" s="8">
        <v>0</v>
      </c>
      <c r="S18" s="8">
        <v>3</v>
      </c>
      <c r="T18" s="8">
        <v>0</v>
      </c>
    </row>
    <row r="19" spans="1:20">
      <c r="A19" s="7">
        <v>16</v>
      </c>
      <c r="B19" s="8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8</v>
      </c>
      <c r="N19" s="8">
        <v>0</v>
      </c>
      <c r="O19" s="8">
        <v>0</v>
      </c>
      <c r="P19" s="8">
        <v>0</v>
      </c>
      <c r="Q19" s="8">
        <v>4</v>
      </c>
      <c r="R19" s="8">
        <v>0</v>
      </c>
      <c r="S19" s="8">
        <v>3</v>
      </c>
      <c r="T19" s="8">
        <v>0</v>
      </c>
    </row>
    <row r="20" spans="1:20">
      <c r="A20" s="7">
        <v>17</v>
      </c>
      <c r="B20" s="8" t="s">
        <v>30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3</v>
      </c>
      <c r="T20" s="8">
        <v>0</v>
      </c>
    </row>
    <row r="21" spans="1:20">
      <c r="A21" s="7">
        <v>18</v>
      </c>
      <c r="B21" s="8" t="s">
        <v>31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>
        <v>0</v>
      </c>
    </row>
    <row r="22" spans="1:20">
      <c r="A22" s="7">
        <v>19</v>
      </c>
      <c r="B22" s="8" t="s">
        <v>32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3</v>
      </c>
      <c r="T22" s="8">
        <v>0</v>
      </c>
    </row>
    <row r="23" spans="1:20">
      <c r="A23" s="7">
        <v>20</v>
      </c>
      <c r="B23" s="8" t="s">
        <v>33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3</v>
      </c>
      <c r="T23" s="8">
        <v>0</v>
      </c>
    </row>
    <row r="24" spans="1:20">
      <c r="A24" s="7">
        <v>21</v>
      </c>
      <c r="B24" s="8" t="s">
        <v>34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3</v>
      </c>
      <c r="T24" s="8">
        <v>0</v>
      </c>
    </row>
    <row r="25" spans="1:20">
      <c r="A25" s="7">
        <v>22</v>
      </c>
      <c r="B25" s="8" t="s">
        <v>35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3</v>
      </c>
      <c r="T25" s="8">
        <v>0</v>
      </c>
    </row>
    <row r="26" spans="1:20">
      <c r="A26" s="7">
        <v>23</v>
      </c>
      <c r="B26" s="8" t="s">
        <v>36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3</v>
      </c>
      <c r="T26" s="8">
        <v>0</v>
      </c>
    </row>
    <row r="27" spans="1:20">
      <c r="A27" s="7">
        <v>24</v>
      </c>
      <c r="B27" s="8" t="s">
        <v>37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3</v>
      </c>
      <c r="T27" s="8">
        <v>0</v>
      </c>
    </row>
    <row r="28" spans="1:20" ht="16.5" customHeight="1">
      <c r="A28" s="7">
        <v>25</v>
      </c>
      <c r="B28" s="8" t="s">
        <v>38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>
        <v>0</v>
      </c>
    </row>
    <row r="29" spans="1:20" ht="15" customHeight="1">
      <c r="A29" s="7">
        <v>26</v>
      </c>
      <c r="B29" s="8" t="s">
        <v>39</v>
      </c>
      <c r="C29" s="8" t="s">
        <v>40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>
        <v>0</v>
      </c>
    </row>
    <row r="30" spans="1:20">
      <c r="A30" s="7">
        <v>27</v>
      </c>
      <c r="B30" s="8" t="s">
        <v>41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3</v>
      </c>
      <c r="T30" s="8">
        <v>0</v>
      </c>
    </row>
    <row r="31" spans="1:20">
      <c r="A31" s="7">
        <v>28</v>
      </c>
      <c r="B31" s="8" t="s">
        <v>42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3</v>
      </c>
      <c r="T31" s="8">
        <v>0</v>
      </c>
    </row>
    <row r="32" spans="1:20">
      <c r="A32" s="7">
        <v>29</v>
      </c>
      <c r="B32" s="8" t="s">
        <v>43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1</v>
      </c>
      <c r="N32" s="8">
        <v>0</v>
      </c>
      <c r="O32" s="8">
        <v>0</v>
      </c>
      <c r="P32" s="8">
        <v>0</v>
      </c>
      <c r="Q32" s="8">
        <v>4</v>
      </c>
      <c r="R32" s="8">
        <v>0</v>
      </c>
      <c r="S32" s="8">
        <v>4</v>
      </c>
      <c r="T32" s="8">
        <v>0</v>
      </c>
    </row>
    <row r="33" spans="1:20">
      <c r="A33" s="7">
        <v>30</v>
      </c>
      <c r="B33" s="8" t="s">
        <v>44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3</v>
      </c>
      <c r="R33" s="8">
        <v>0</v>
      </c>
      <c r="S33" s="8">
        <v>4</v>
      </c>
      <c r="T33" s="8">
        <v>0</v>
      </c>
    </row>
    <row r="34" spans="1:20">
      <c r="A34" s="7">
        <v>31</v>
      </c>
      <c r="B34" s="8" t="s">
        <v>45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1</v>
      </c>
      <c r="P34" s="8">
        <v>0</v>
      </c>
      <c r="Q34" s="8">
        <v>3</v>
      </c>
      <c r="R34" s="8">
        <v>0</v>
      </c>
      <c r="S34" s="8">
        <v>4</v>
      </c>
      <c r="T34" s="8">
        <v>0</v>
      </c>
    </row>
    <row r="35" spans="1:20">
      <c r="A35" s="4"/>
      <c r="B35" s="5"/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f>SUM(M4:M34)</f>
        <v>14</v>
      </c>
      <c r="N35" s="8">
        <v>0</v>
      </c>
      <c r="O35" s="8">
        <f>SUM(O4:O34)</f>
        <v>6</v>
      </c>
      <c r="P35" s="8">
        <v>0</v>
      </c>
      <c r="Q35" s="8">
        <f>SUM(Q4:Q34)</f>
        <v>18</v>
      </c>
      <c r="R35" s="8">
        <v>0</v>
      </c>
      <c r="S35" s="8">
        <f>SUM(S4:S34)</f>
        <v>113</v>
      </c>
      <c r="T35" s="8">
        <v>0</v>
      </c>
    </row>
    <row r="36" spans="1:20">
      <c r="A36" s="28"/>
      <c r="B36" s="28"/>
      <c r="C36" s="29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</row>
  </sheetData>
  <mergeCells count="10">
    <mergeCell ref="S2:T2"/>
    <mergeCell ref="A1:R1"/>
    <mergeCell ref="C2:D2"/>
    <mergeCell ref="E2:F2"/>
    <mergeCell ref="G2:H2"/>
    <mergeCell ref="I2:J2"/>
    <mergeCell ref="K2:L2"/>
    <mergeCell ref="M2:N2"/>
    <mergeCell ref="O2:P2"/>
    <mergeCell ref="Q2:R2"/>
  </mergeCells>
  <hyperlinks>
    <hyperlink ref="A2" r:id="rId1" xr:uid="{00000000-0004-0000-0100-000000000000}"/>
  </hyperlink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36"/>
  <sheetViews>
    <sheetView topLeftCell="A9" workbookViewId="0">
      <selection activeCell="T36" sqref="T36"/>
    </sheetView>
  </sheetViews>
  <sheetFormatPr defaultColWidth="9" defaultRowHeight="15"/>
  <cols>
    <col min="2" max="2" width="8.140625" customWidth="1"/>
    <col min="3" max="3" width="10.140625" customWidth="1"/>
    <col min="4" max="4" width="6.5703125" customWidth="1"/>
    <col min="5" max="5" width="5.140625" customWidth="1"/>
    <col min="6" max="6" width="6.5703125" customWidth="1"/>
    <col min="7" max="7" width="4.7109375" customWidth="1"/>
    <col min="8" max="8" width="5.5703125" customWidth="1"/>
    <col min="9" max="9" width="5" customWidth="1"/>
    <col min="10" max="10" width="5.5703125" customWidth="1"/>
    <col min="11" max="11" width="6.5703125" customWidth="1"/>
    <col min="12" max="14" width="6.28515625" customWidth="1"/>
    <col min="15" max="15" width="5.5703125" customWidth="1"/>
    <col min="16" max="16" width="5.7109375" customWidth="1"/>
    <col min="17" max="17" width="6.28515625" customWidth="1"/>
    <col min="18" max="18" width="5.7109375" customWidth="1"/>
  </cols>
  <sheetData>
    <row r="1" spans="1:18" ht="18.75">
      <c r="A1" s="38" t="s">
        <v>47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40"/>
    </row>
    <row r="2" spans="1:18">
      <c r="A2" s="2" t="s">
        <v>1</v>
      </c>
      <c r="B2" s="3" t="s">
        <v>2</v>
      </c>
      <c r="C2" s="41" t="s">
        <v>3</v>
      </c>
      <c r="D2" s="42"/>
      <c r="E2" s="41" t="s">
        <v>4</v>
      </c>
      <c r="F2" s="42"/>
      <c r="G2" s="41" t="s">
        <v>5</v>
      </c>
      <c r="H2" s="42"/>
      <c r="I2" s="41" t="s">
        <v>6</v>
      </c>
      <c r="J2" s="42"/>
      <c r="K2" s="41" t="s">
        <v>7</v>
      </c>
      <c r="L2" s="42"/>
      <c r="M2" s="41" t="s">
        <v>8</v>
      </c>
      <c r="N2" s="42"/>
      <c r="O2" s="41" t="s">
        <v>9</v>
      </c>
      <c r="P2" s="42"/>
      <c r="Q2" s="41" t="s">
        <v>10</v>
      </c>
      <c r="R2" s="42"/>
    </row>
    <row r="3" spans="1:18" ht="30">
      <c r="A3" s="4"/>
      <c r="B3" s="5"/>
      <c r="C3" s="6" t="s">
        <v>12</v>
      </c>
      <c r="D3" s="6" t="s">
        <v>13</v>
      </c>
      <c r="E3" s="6" t="s">
        <v>12</v>
      </c>
      <c r="F3" s="6" t="s">
        <v>13</v>
      </c>
      <c r="G3" s="6" t="s">
        <v>12</v>
      </c>
      <c r="H3" s="6" t="s">
        <v>13</v>
      </c>
      <c r="I3" s="6" t="s">
        <v>12</v>
      </c>
      <c r="J3" s="6" t="s">
        <v>13</v>
      </c>
      <c r="K3" s="6" t="s">
        <v>12</v>
      </c>
      <c r="L3" s="6" t="s">
        <v>13</v>
      </c>
      <c r="M3" s="6" t="s">
        <v>12</v>
      </c>
      <c r="N3" s="6" t="s">
        <v>13</v>
      </c>
      <c r="O3" s="6" t="s">
        <v>12</v>
      </c>
      <c r="P3" s="6" t="s">
        <v>13</v>
      </c>
      <c r="Q3" s="6" t="s">
        <v>12</v>
      </c>
      <c r="R3" s="6" t="s">
        <v>13</v>
      </c>
    </row>
    <row r="4" spans="1:18">
      <c r="A4" s="7">
        <v>1</v>
      </c>
      <c r="B4" s="8" t="s">
        <v>14</v>
      </c>
      <c r="C4" s="8">
        <v>10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9</v>
      </c>
      <c r="N4" s="8">
        <v>0</v>
      </c>
      <c r="O4" s="8">
        <v>16</v>
      </c>
      <c r="P4" s="8">
        <v>0</v>
      </c>
      <c r="Q4" s="8">
        <v>3</v>
      </c>
      <c r="R4" s="8">
        <v>0</v>
      </c>
    </row>
    <row r="5" spans="1:18">
      <c r="A5" s="7">
        <v>2</v>
      </c>
      <c r="B5" s="8" t="s">
        <v>15</v>
      </c>
      <c r="C5" s="8">
        <v>4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11</v>
      </c>
      <c r="N5" s="8">
        <v>0</v>
      </c>
      <c r="O5" s="8">
        <v>14</v>
      </c>
      <c r="P5" s="8">
        <v>0</v>
      </c>
      <c r="Q5" s="8">
        <v>12</v>
      </c>
      <c r="R5" s="8">
        <v>0</v>
      </c>
    </row>
    <row r="6" spans="1:18">
      <c r="A6" s="7">
        <v>3</v>
      </c>
      <c r="B6" s="8" t="s">
        <v>16</v>
      </c>
      <c r="C6" s="8">
        <v>10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12</v>
      </c>
      <c r="N6" s="8">
        <v>0</v>
      </c>
      <c r="O6" s="8">
        <v>26</v>
      </c>
      <c r="P6" s="8">
        <v>0</v>
      </c>
      <c r="Q6" s="8">
        <v>11</v>
      </c>
      <c r="R6" s="8">
        <v>0</v>
      </c>
    </row>
    <row r="7" spans="1:18">
      <c r="A7" s="7">
        <v>4</v>
      </c>
      <c r="B7" s="8" t="s">
        <v>17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</row>
    <row r="8" spans="1:18">
      <c r="A8" s="7">
        <v>5</v>
      </c>
      <c r="B8" s="8" t="s">
        <v>18</v>
      </c>
      <c r="C8" s="8">
        <v>11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11</v>
      </c>
      <c r="N8" s="8">
        <v>0</v>
      </c>
      <c r="O8" s="8">
        <v>20</v>
      </c>
      <c r="P8" s="8">
        <v>0</v>
      </c>
      <c r="Q8" s="8">
        <v>16</v>
      </c>
      <c r="R8" s="8">
        <v>0</v>
      </c>
    </row>
    <row r="9" spans="1:18">
      <c r="A9" s="7">
        <v>6</v>
      </c>
      <c r="B9" s="8" t="s">
        <v>19</v>
      </c>
      <c r="C9" s="8">
        <v>9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10</v>
      </c>
      <c r="N9" s="8">
        <v>0</v>
      </c>
      <c r="O9" s="8">
        <v>19</v>
      </c>
      <c r="P9" s="8">
        <v>0</v>
      </c>
      <c r="Q9" s="8">
        <v>1</v>
      </c>
      <c r="R9" s="8">
        <v>0</v>
      </c>
    </row>
    <row r="10" spans="1:18">
      <c r="A10" s="7">
        <v>7</v>
      </c>
      <c r="B10" s="8" t="s">
        <v>20</v>
      </c>
      <c r="C10" s="8">
        <v>11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13</v>
      </c>
      <c r="N10" s="8">
        <v>0</v>
      </c>
      <c r="O10" s="8">
        <v>14</v>
      </c>
      <c r="P10" s="8">
        <v>7</v>
      </c>
      <c r="Q10" s="8">
        <v>13</v>
      </c>
      <c r="R10" s="8">
        <v>0</v>
      </c>
    </row>
    <row r="11" spans="1:18">
      <c r="A11" s="7">
        <v>8</v>
      </c>
      <c r="B11" s="8" t="s">
        <v>21</v>
      </c>
      <c r="C11" s="8">
        <v>11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14</v>
      </c>
      <c r="N11" s="8">
        <v>0</v>
      </c>
      <c r="O11" s="8">
        <v>18</v>
      </c>
      <c r="P11" s="8">
        <v>0</v>
      </c>
      <c r="Q11" s="8">
        <v>12</v>
      </c>
      <c r="R11" s="8">
        <v>0</v>
      </c>
    </row>
    <row r="12" spans="1:18">
      <c r="A12" s="7">
        <v>9</v>
      </c>
      <c r="B12" s="8" t="s">
        <v>22</v>
      </c>
      <c r="C12" s="8">
        <v>10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16</v>
      </c>
      <c r="N12" s="8">
        <v>0</v>
      </c>
      <c r="O12" s="8">
        <v>20</v>
      </c>
      <c r="P12" s="8">
        <v>0</v>
      </c>
      <c r="Q12" s="8">
        <v>9</v>
      </c>
      <c r="R12" s="8">
        <v>0</v>
      </c>
    </row>
    <row r="13" spans="1:18">
      <c r="A13" s="7">
        <v>10</v>
      </c>
      <c r="B13" s="8" t="s">
        <v>23</v>
      </c>
      <c r="C13" s="8">
        <v>10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16</v>
      </c>
      <c r="N13" s="8">
        <v>0</v>
      </c>
      <c r="O13" s="8">
        <v>22</v>
      </c>
      <c r="P13" s="8">
        <v>0</v>
      </c>
      <c r="Q13" s="8">
        <v>9</v>
      </c>
      <c r="R13" s="8">
        <v>0</v>
      </c>
    </row>
    <row r="14" spans="1:18">
      <c r="A14" s="7">
        <v>11</v>
      </c>
      <c r="B14" s="8" t="s">
        <v>24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>
        <v>4</v>
      </c>
      <c r="P14" s="8">
        <v>0</v>
      </c>
      <c r="Q14" s="8"/>
      <c r="R14" s="8"/>
    </row>
    <row r="15" spans="1:18">
      <c r="A15" s="7">
        <v>12</v>
      </c>
      <c r="B15" s="8" t="s">
        <v>25</v>
      </c>
      <c r="C15" s="8">
        <v>13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15</v>
      </c>
      <c r="N15" s="8">
        <v>0</v>
      </c>
      <c r="O15" s="8">
        <v>14</v>
      </c>
      <c r="P15" s="8">
        <v>15</v>
      </c>
      <c r="Q15" s="8">
        <v>11</v>
      </c>
      <c r="R15" s="8">
        <v>0</v>
      </c>
    </row>
    <row r="16" spans="1:18">
      <c r="A16" s="7">
        <v>13</v>
      </c>
      <c r="B16" s="8" t="s">
        <v>26</v>
      </c>
      <c r="C16" s="8">
        <v>11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15</v>
      </c>
      <c r="N16" s="8">
        <v>0</v>
      </c>
      <c r="O16" s="8">
        <v>14</v>
      </c>
      <c r="P16" s="8">
        <v>15</v>
      </c>
      <c r="Q16" s="8">
        <v>13</v>
      </c>
      <c r="R16" s="8">
        <v>0</v>
      </c>
    </row>
    <row r="17" spans="1:20">
      <c r="A17" s="7">
        <v>14</v>
      </c>
      <c r="B17" s="8" t="s">
        <v>27</v>
      </c>
      <c r="C17" s="8">
        <v>9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13</v>
      </c>
      <c r="N17" s="8">
        <v>0</v>
      </c>
      <c r="O17" s="8">
        <v>13</v>
      </c>
      <c r="P17" s="8">
        <v>15</v>
      </c>
      <c r="Q17" s="8">
        <v>12</v>
      </c>
      <c r="R17" s="8">
        <v>0</v>
      </c>
    </row>
    <row r="18" spans="1:20">
      <c r="A18" s="7">
        <v>15</v>
      </c>
      <c r="B18" s="8" t="s">
        <v>28</v>
      </c>
      <c r="C18" s="8">
        <v>10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20</v>
      </c>
      <c r="N18" s="8">
        <v>0</v>
      </c>
      <c r="O18" s="8">
        <v>14</v>
      </c>
      <c r="P18" s="8">
        <v>15</v>
      </c>
      <c r="Q18" s="8">
        <v>16</v>
      </c>
      <c r="R18" s="8">
        <v>0</v>
      </c>
    </row>
    <row r="19" spans="1:20">
      <c r="A19" s="7">
        <v>16</v>
      </c>
      <c r="B19" s="8" t="s">
        <v>29</v>
      </c>
      <c r="C19" s="8">
        <v>10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24</v>
      </c>
      <c r="N19" s="8">
        <v>0</v>
      </c>
      <c r="O19" s="8">
        <v>13</v>
      </c>
      <c r="P19" s="8">
        <v>15</v>
      </c>
      <c r="Q19" s="8">
        <v>17</v>
      </c>
      <c r="R19" s="8">
        <v>0</v>
      </c>
    </row>
    <row r="20" spans="1:20">
      <c r="A20" s="7">
        <v>17</v>
      </c>
      <c r="B20" s="8" t="s">
        <v>30</v>
      </c>
      <c r="C20" s="8">
        <v>12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22</v>
      </c>
      <c r="N20" s="8">
        <v>0</v>
      </c>
      <c r="O20" s="8">
        <v>14</v>
      </c>
      <c r="P20" s="8">
        <v>16</v>
      </c>
      <c r="Q20" s="8">
        <v>15</v>
      </c>
      <c r="R20" s="8">
        <v>0</v>
      </c>
    </row>
    <row r="21" spans="1:20">
      <c r="A21" s="7">
        <v>18</v>
      </c>
      <c r="B21" s="8" t="s">
        <v>31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</row>
    <row r="22" spans="1:20">
      <c r="A22" s="7">
        <v>19</v>
      </c>
      <c r="B22" s="8" t="s">
        <v>32</v>
      </c>
      <c r="C22" s="8">
        <v>11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24</v>
      </c>
      <c r="N22" s="8">
        <v>0</v>
      </c>
      <c r="O22" s="8">
        <v>10</v>
      </c>
      <c r="P22" s="8">
        <v>17</v>
      </c>
      <c r="Q22" s="8">
        <v>9</v>
      </c>
      <c r="R22" s="8">
        <v>0</v>
      </c>
    </row>
    <row r="23" spans="1:20">
      <c r="A23" s="7">
        <v>20</v>
      </c>
      <c r="B23" s="8" t="s">
        <v>33</v>
      </c>
      <c r="C23" s="8">
        <v>13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28</v>
      </c>
      <c r="N23" s="8">
        <v>0</v>
      </c>
      <c r="O23" s="8">
        <v>15</v>
      </c>
      <c r="P23" s="8">
        <v>15</v>
      </c>
      <c r="Q23" s="8">
        <v>14</v>
      </c>
      <c r="R23" s="8">
        <v>0</v>
      </c>
    </row>
    <row r="24" spans="1:20">
      <c r="A24" s="7">
        <v>21</v>
      </c>
      <c r="B24" s="8" t="s">
        <v>34</v>
      </c>
      <c r="C24" s="8">
        <v>12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19</v>
      </c>
      <c r="N24" s="8">
        <v>0</v>
      </c>
      <c r="O24" s="8">
        <v>18</v>
      </c>
      <c r="P24" s="8">
        <v>17</v>
      </c>
      <c r="Q24" s="8">
        <v>14</v>
      </c>
      <c r="R24" s="8">
        <v>0</v>
      </c>
      <c r="T24" s="27"/>
    </row>
    <row r="25" spans="1:20">
      <c r="A25" s="7">
        <v>22</v>
      </c>
      <c r="B25" s="8" t="s">
        <v>35</v>
      </c>
      <c r="C25" s="8">
        <v>13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22</v>
      </c>
      <c r="N25" s="8">
        <v>0</v>
      </c>
      <c r="O25" s="8">
        <v>21</v>
      </c>
      <c r="P25" s="8">
        <v>19</v>
      </c>
      <c r="Q25" s="8">
        <v>15</v>
      </c>
      <c r="R25" s="8">
        <v>0</v>
      </c>
    </row>
    <row r="26" spans="1:20">
      <c r="A26" s="7">
        <v>23</v>
      </c>
      <c r="B26" s="8" t="s">
        <v>36</v>
      </c>
      <c r="C26" s="8">
        <v>12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22</v>
      </c>
      <c r="N26" s="8">
        <v>0</v>
      </c>
      <c r="O26" s="8">
        <v>19</v>
      </c>
      <c r="P26" s="8">
        <v>17</v>
      </c>
      <c r="Q26" s="8">
        <v>10</v>
      </c>
      <c r="R26" s="8">
        <v>0</v>
      </c>
    </row>
    <row r="27" spans="1:20">
      <c r="A27" s="7">
        <v>24</v>
      </c>
      <c r="B27" s="8" t="s">
        <v>37</v>
      </c>
      <c r="C27" s="8">
        <v>12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16</v>
      </c>
      <c r="N27" s="8">
        <v>0</v>
      </c>
      <c r="O27" s="8">
        <v>22</v>
      </c>
      <c r="P27" s="8">
        <v>20</v>
      </c>
      <c r="Q27" s="8">
        <v>14</v>
      </c>
      <c r="R27" s="8">
        <v>0</v>
      </c>
    </row>
    <row r="28" spans="1:20">
      <c r="A28" s="7">
        <v>25</v>
      </c>
      <c r="B28" s="8" t="s">
        <v>38</v>
      </c>
      <c r="C28" s="8">
        <v>11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17</v>
      </c>
      <c r="N28" s="8">
        <v>0</v>
      </c>
      <c r="O28" s="8">
        <v>10</v>
      </c>
      <c r="P28" s="8"/>
      <c r="Q28" s="8">
        <v>13</v>
      </c>
      <c r="R28" s="8">
        <v>0</v>
      </c>
    </row>
    <row r="29" spans="1:20" ht="17.25" customHeight="1">
      <c r="A29" s="7">
        <v>26</v>
      </c>
      <c r="B29" s="8" t="s">
        <v>39</v>
      </c>
      <c r="C29" s="8" t="s">
        <v>40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</row>
    <row r="30" spans="1:20">
      <c r="A30" s="7">
        <v>27</v>
      </c>
      <c r="B30" s="8" t="s">
        <v>41</v>
      </c>
      <c r="C30" s="8">
        <v>9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16</v>
      </c>
      <c r="N30" s="8">
        <v>0</v>
      </c>
      <c r="O30" s="8">
        <v>20</v>
      </c>
      <c r="P30" s="8">
        <v>19</v>
      </c>
      <c r="Q30" s="8">
        <v>19</v>
      </c>
      <c r="R30" s="8">
        <v>0</v>
      </c>
    </row>
    <row r="31" spans="1:20">
      <c r="A31" s="7">
        <v>28</v>
      </c>
      <c r="B31" s="8" t="s">
        <v>42</v>
      </c>
      <c r="C31" s="8">
        <v>11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16</v>
      </c>
      <c r="N31" s="8">
        <v>0</v>
      </c>
      <c r="O31" s="8">
        <v>19</v>
      </c>
      <c r="P31" s="8">
        <v>19</v>
      </c>
      <c r="Q31" s="8">
        <v>21</v>
      </c>
      <c r="R31" s="8">
        <v>0</v>
      </c>
    </row>
    <row r="32" spans="1:20">
      <c r="A32" s="7">
        <v>29</v>
      </c>
      <c r="B32" s="8" t="s">
        <v>43</v>
      </c>
      <c r="C32" s="8">
        <v>11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22</v>
      </c>
      <c r="N32" s="8">
        <v>0</v>
      </c>
      <c r="O32" s="8">
        <v>19</v>
      </c>
      <c r="P32" s="8">
        <v>18</v>
      </c>
      <c r="Q32" s="8">
        <v>25</v>
      </c>
      <c r="R32" s="8">
        <v>0</v>
      </c>
    </row>
    <row r="33" spans="1:18">
      <c r="A33" s="7">
        <v>30</v>
      </c>
      <c r="B33" s="8" t="s">
        <v>44</v>
      </c>
      <c r="C33" s="8">
        <v>9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24</v>
      </c>
      <c r="N33" s="8">
        <v>0</v>
      </c>
      <c r="O33" s="8">
        <v>16</v>
      </c>
      <c r="P33" s="8">
        <v>19</v>
      </c>
      <c r="Q33" s="8">
        <v>18</v>
      </c>
      <c r="R33" s="8">
        <v>0</v>
      </c>
    </row>
    <row r="34" spans="1:18">
      <c r="A34" s="7">
        <v>31</v>
      </c>
      <c r="B34" s="8" t="s">
        <v>45</v>
      </c>
      <c r="C34" s="8">
        <v>10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17</v>
      </c>
      <c r="N34" s="8">
        <v>0</v>
      </c>
      <c r="O34" s="8">
        <v>19</v>
      </c>
      <c r="P34" s="8">
        <v>17</v>
      </c>
      <c r="Q34" s="8">
        <v>18</v>
      </c>
      <c r="R34" s="8">
        <v>2</v>
      </c>
    </row>
    <row r="35" spans="1:18">
      <c r="A35" s="4"/>
      <c r="B35" s="5"/>
      <c r="C35" s="8">
        <f>SUM(C4:C34)</f>
        <v>285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f>SUM(M4:M34)</f>
        <v>464</v>
      </c>
      <c r="N35" s="8">
        <v>0</v>
      </c>
      <c r="O35" s="8">
        <f>SUM(O4:O34)</f>
        <v>463</v>
      </c>
      <c r="P35" s="8">
        <f>SUM(P4:P34)</f>
        <v>295</v>
      </c>
      <c r="Q35" s="8">
        <f>SUM(Q4:Q34)</f>
        <v>360</v>
      </c>
      <c r="R35" s="8">
        <v>0</v>
      </c>
    </row>
    <row r="36" spans="1:18">
      <c r="A36" s="28"/>
      <c r="B36" s="28"/>
      <c r="C36" s="29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</row>
  </sheetData>
  <mergeCells count="9">
    <mergeCell ref="A1:R1"/>
    <mergeCell ref="C2:D2"/>
    <mergeCell ref="E2:F2"/>
    <mergeCell ref="G2:H2"/>
    <mergeCell ref="I2:J2"/>
    <mergeCell ref="K2:L2"/>
    <mergeCell ref="M2:N2"/>
    <mergeCell ref="O2:P2"/>
    <mergeCell ref="Q2:R2"/>
  </mergeCells>
  <hyperlinks>
    <hyperlink ref="A2" r:id="rId1" xr:uid="{00000000-0004-0000-0200-000000000000}"/>
  </hyperlink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32"/>
  <sheetViews>
    <sheetView topLeftCell="A16" workbookViewId="0">
      <selection sqref="A1:T32"/>
    </sheetView>
  </sheetViews>
  <sheetFormatPr defaultColWidth="9" defaultRowHeight="15"/>
  <cols>
    <col min="1" max="1" width="5.42578125" customWidth="1"/>
    <col min="2" max="2" width="8.140625" customWidth="1"/>
    <col min="3" max="3" width="5" customWidth="1"/>
    <col min="4" max="4" width="5.85546875" customWidth="1"/>
    <col min="5" max="5" width="4.28515625" customWidth="1"/>
    <col min="6" max="6" width="5.85546875" customWidth="1"/>
    <col min="7" max="7" width="4.28515625" customWidth="1"/>
    <col min="8" max="8" width="5.85546875" customWidth="1"/>
    <col min="9" max="9" width="4.28515625" customWidth="1"/>
    <col min="10" max="10" width="5.85546875" customWidth="1"/>
    <col min="11" max="11" width="4.28515625" customWidth="1"/>
    <col min="12" max="12" width="5.85546875" customWidth="1"/>
    <col min="13" max="13" width="4.28515625" customWidth="1"/>
    <col min="14" max="14" width="5.85546875" customWidth="1"/>
    <col min="15" max="15" width="4.28515625" customWidth="1"/>
    <col min="16" max="16" width="5.85546875" customWidth="1"/>
    <col min="17" max="17" width="4.28515625" customWidth="1"/>
    <col min="18" max="18" width="5.85546875" customWidth="1"/>
    <col min="19" max="19" width="5" customWidth="1"/>
    <col min="20" max="20" width="5.85546875" customWidth="1"/>
  </cols>
  <sheetData>
    <row r="1" spans="1:20" ht="19.5" customHeight="1">
      <c r="A1" s="43" t="s">
        <v>48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</row>
    <row r="2" spans="1:20" ht="15.75" customHeight="1">
      <c r="A2" s="20" t="s">
        <v>1</v>
      </c>
      <c r="B2" s="21" t="s">
        <v>2</v>
      </c>
      <c r="C2" s="44" t="s">
        <v>3</v>
      </c>
      <c r="D2" s="45"/>
      <c r="E2" s="44" t="s">
        <v>4</v>
      </c>
      <c r="F2" s="45"/>
      <c r="G2" s="44" t="s">
        <v>5</v>
      </c>
      <c r="H2" s="45"/>
      <c r="I2" s="44" t="s">
        <v>6</v>
      </c>
      <c r="J2" s="45"/>
      <c r="K2" s="44" t="s">
        <v>7</v>
      </c>
      <c r="L2" s="45"/>
      <c r="M2" s="44" t="s">
        <v>8</v>
      </c>
      <c r="N2" s="45"/>
      <c r="O2" s="44" t="s">
        <v>9</v>
      </c>
      <c r="P2" s="45"/>
      <c r="Q2" s="44" t="s">
        <v>10</v>
      </c>
      <c r="R2" s="45"/>
      <c r="S2" s="44" t="s">
        <v>11</v>
      </c>
      <c r="T2" s="45"/>
    </row>
    <row r="3" spans="1:20">
      <c r="A3" s="4"/>
      <c r="B3" s="5"/>
      <c r="C3" s="6" t="s">
        <v>12</v>
      </c>
      <c r="D3" s="6" t="s">
        <v>13</v>
      </c>
      <c r="E3" s="6" t="s">
        <v>12</v>
      </c>
      <c r="F3" s="6" t="s">
        <v>13</v>
      </c>
      <c r="G3" s="6" t="s">
        <v>12</v>
      </c>
      <c r="H3" s="6" t="s">
        <v>13</v>
      </c>
      <c r="I3" s="6" t="s">
        <v>12</v>
      </c>
      <c r="J3" s="6" t="s">
        <v>13</v>
      </c>
      <c r="K3" s="6" t="s">
        <v>12</v>
      </c>
      <c r="L3" s="6" t="s">
        <v>13</v>
      </c>
      <c r="M3" s="6" t="s">
        <v>12</v>
      </c>
      <c r="N3" s="6" t="s">
        <v>13</v>
      </c>
      <c r="O3" s="6" t="s">
        <v>12</v>
      </c>
      <c r="P3" s="6" t="s">
        <v>13</v>
      </c>
      <c r="Q3" s="6" t="s">
        <v>12</v>
      </c>
      <c r="R3" s="6" t="s">
        <v>13</v>
      </c>
      <c r="S3" s="6" t="s">
        <v>12</v>
      </c>
      <c r="T3" s="6" t="s">
        <v>13</v>
      </c>
    </row>
    <row r="4" spans="1:20">
      <c r="A4" s="7">
        <v>1</v>
      </c>
      <c r="B4" s="8" t="s">
        <v>49</v>
      </c>
      <c r="C4" s="8">
        <v>1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1</v>
      </c>
      <c r="N4" s="8">
        <v>0</v>
      </c>
      <c r="O4" s="8">
        <v>1</v>
      </c>
      <c r="P4" s="8">
        <v>0</v>
      </c>
      <c r="Q4" s="8">
        <v>2</v>
      </c>
      <c r="R4" s="8">
        <v>0</v>
      </c>
      <c r="S4" s="8">
        <v>11</v>
      </c>
      <c r="T4" s="8">
        <v>0</v>
      </c>
    </row>
    <row r="5" spans="1:20">
      <c r="A5" s="7">
        <v>2</v>
      </c>
      <c r="B5" s="8" t="s">
        <v>50</v>
      </c>
      <c r="C5" s="8">
        <v>1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1</v>
      </c>
      <c r="N5" s="8">
        <v>0</v>
      </c>
      <c r="O5" s="8">
        <v>1</v>
      </c>
      <c r="P5" s="8">
        <v>0</v>
      </c>
      <c r="Q5" s="8">
        <v>0</v>
      </c>
      <c r="R5" s="8">
        <v>0</v>
      </c>
      <c r="S5" s="8">
        <v>32</v>
      </c>
      <c r="T5" s="8">
        <v>0</v>
      </c>
    </row>
    <row r="6" spans="1:20">
      <c r="A6" s="7">
        <v>3</v>
      </c>
      <c r="B6" s="8" t="s">
        <v>51</v>
      </c>
      <c r="C6" s="8">
        <v>3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3</v>
      </c>
      <c r="N6" s="8">
        <v>0</v>
      </c>
      <c r="O6" s="8">
        <v>1</v>
      </c>
      <c r="P6" s="8">
        <v>0</v>
      </c>
      <c r="Q6" s="8">
        <v>0</v>
      </c>
      <c r="R6" s="8">
        <v>0</v>
      </c>
      <c r="S6" s="8">
        <v>40</v>
      </c>
      <c r="T6" s="8">
        <v>0</v>
      </c>
    </row>
    <row r="7" spans="1:20">
      <c r="A7" s="7">
        <v>4</v>
      </c>
      <c r="B7" s="8" t="s">
        <v>52</v>
      </c>
      <c r="C7" s="8">
        <v>9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12</v>
      </c>
      <c r="N7" s="8">
        <v>0</v>
      </c>
      <c r="O7" s="8">
        <v>8</v>
      </c>
      <c r="P7" s="8">
        <v>13</v>
      </c>
      <c r="Q7" s="8">
        <v>16</v>
      </c>
      <c r="R7" s="8">
        <v>0</v>
      </c>
      <c r="S7" s="8">
        <v>45</v>
      </c>
      <c r="T7" s="8">
        <v>2</v>
      </c>
    </row>
    <row r="8" spans="1:20">
      <c r="A8" s="7">
        <v>5</v>
      </c>
      <c r="B8" s="8" t="s">
        <v>53</v>
      </c>
      <c r="C8" s="8">
        <v>9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15</v>
      </c>
      <c r="N8" s="8">
        <v>0</v>
      </c>
      <c r="O8" s="8">
        <v>7</v>
      </c>
      <c r="P8" s="8">
        <v>17</v>
      </c>
      <c r="Q8" s="8">
        <v>25</v>
      </c>
      <c r="R8" s="8">
        <v>0</v>
      </c>
      <c r="S8" s="8">
        <v>42</v>
      </c>
      <c r="T8" s="8">
        <v>2</v>
      </c>
    </row>
    <row r="9" spans="1:20">
      <c r="A9" s="7">
        <v>6</v>
      </c>
      <c r="B9" s="8" t="s">
        <v>54</v>
      </c>
      <c r="C9" s="8">
        <v>8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15</v>
      </c>
      <c r="N9" s="8">
        <v>0</v>
      </c>
      <c r="O9" s="8">
        <v>8</v>
      </c>
      <c r="P9" s="8">
        <v>17</v>
      </c>
      <c r="Q9" s="8">
        <v>14</v>
      </c>
      <c r="R9" s="8">
        <v>0</v>
      </c>
      <c r="S9" s="8">
        <v>42</v>
      </c>
      <c r="T9" s="8">
        <v>2</v>
      </c>
    </row>
    <row r="10" spans="1:20">
      <c r="A10" s="7">
        <v>7</v>
      </c>
      <c r="B10" s="8" t="s">
        <v>55</v>
      </c>
      <c r="C10" s="8">
        <v>1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1</v>
      </c>
      <c r="N10" s="8">
        <v>0</v>
      </c>
      <c r="O10" s="8">
        <v>8</v>
      </c>
      <c r="P10" s="8">
        <v>0</v>
      </c>
      <c r="Q10" s="8">
        <v>0</v>
      </c>
      <c r="R10" s="8">
        <v>0</v>
      </c>
      <c r="S10" s="8">
        <v>46</v>
      </c>
      <c r="T10" s="8">
        <v>0</v>
      </c>
    </row>
    <row r="11" spans="1:20">
      <c r="A11" s="7">
        <v>8</v>
      </c>
      <c r="B11" s="8" t="s">
        <v>56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 spans="1:20">
      <c r="A12" s="7">
        <v>9</v>
      </c>
      <c r="B12" s="8" t="s">
        <v>57</v>
      </c>
      <c r="C12" s="8">
        <v>1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1</v>
      </c>
      <c r="N12" s="8">
        <v>0</v>
      </c>
      <c r="O12" s="8">
        <v>23</v>
      </c>
      <c r="P12" s="8">
        <v>0</v>
      </c>
      <c r="Q12" s="8">
        <v>0</v>
      </c>
      <c r="R12" s="8">
        <v>0</v>
      </c>
      <c r="S12" s="8">
        <v>46</v>
      </c>
      <c r="T12" s="8">
        <v>0</v>
      </c>
    </row>
    <row r="13" spans="1:20">
      <c r="A13" s="7">
        <v>10</v>
      </c>
      <c r="B13" s="8" t="s">
        <v>58</v>
      </c>
      <c r="C13" s="8">
        <v>4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12</v>
      </c>
      <c r="N13" s="8">
        <v>0</v>
      </c>
      <c r="O13" s="8">
        <v>21</v>
      </c>
      <c r="P13" s="8">
        <v>0</v>
      </c>
      <c r="Q13" s="8">
        <v>0</v>
      </c>
      <c r="R13" s="8">
        <v>0</v>
      </c>
      <c r="S13" s="8">
        <v>39</v>
      </c>
      <c r="T13" s="8">
        <v>0</v>
      </c>
    </row>
    <row r="14" spans="1:20">
      <c r="A14" s="7">
        <v>11</v>
      </c>
      <c r="B14" s="8" t="s">
        <v>59</v>
      </c>
      <c r="C14" s="8">
        <v>4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10</v>
      </c>
      <c r="N14" s="8">
        <v>0</v>
      </c>
      <c r="O14" s="8">
        <v>23</v>
      </c>
      <c r="P14" s="8">
        <v>0</v>
      </c>
      <c r="Q14" s="8">
        <v>0</v>
      </c>
      <c r="R14" s="8">
        <v>0</v>
      </c>
      <c r="S14" s="8">
        <v>39</v>
      </c>
      <c r="T14" s="8">
        <v>0</v>
      </c>
    </row>
    <row r="15" spans="1:20">
      <c r="A15" s="7">
        <v>12</v>
      </c>
      <c r="B15" s="8" t="s">
        <v>60</v>
      </c>
      <c r="C15" s="8">
        <v>1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1</v>
      </c>
      <c r="N15" s="8">
        <v>0</v>
      </c>
      <c r="O15" s="8">
        <v>29</v>
      </c>
      <c r="P15" s="8">
        <v>0</v>
      </c>
      <c r="Q15" s="8">
        <v>0</v>
      </c>
      <c r="R15" s="8">
        <v>0</v>
      </c>
      <c r="S15" s="8">
        <v>42</v>
      </c>
      <c r="T15" s="8">
        <v>0</v>
      </c>
    </row>
    <row r="16" spans="1:20">
      <c r="A16" s="7">
        <v>13</v>
      </c>
      <c r="B16" s="8" t="s">
        <v>61</v>
      </c>
      <c r="C16" s="8">
        <v>4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5</v>
      </c>
      <c r="N16" s="8">
        <v>0</v>
      </c>
      <c r="O16" s="8">
        <v>22</v>
      </c>
      <c r="P16" s="8">
        <v>0</v>
      </c>
      <c r="Q16" s="8">
        <v>0</v>
      </c>
      <c r="R16" s="8">
        <v>0</v>
      </c>
      <c r="S16" s="8">
        <v>41</v>
      </c>
      <c r="T16" s="8">
        <v>0</v>
      </c>
    </row>
    <row r="17" spans="1:20">
      <c r="A17" s="7">
        <v>14</v>
      </c>
      <c r="B17" s="8" t="s">
        <v>62</v>
      </c>
      <c r="C17" s="8">
        <v>6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10</v>
      </c>
      <c r="N17" s="8">
        <v>0</v>
      </c>
      <c r="O17" s="8">
        <v>22</v>
      </c>
      <c r="P17" s="8">
        <v>0</v>
      </c>
      <c r="Q17" s="8">
        <v>0</v>
      </c>
      <c r="R17" s="8">
        <v>0</v>
      </c>
      <c r="S17" s="8">
        <v>44</v>
      </c>
      <c r="T17" s="8">
        <v>0</v>
      </c>
    </row>
    <row r="18" spans="1:20">
      <c r="A18" s="7">
        <v>15</v>
      </c>
      <c r="B18" s="8" t="s">
        <v>63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 spans="1:20">
      <c r="A19" s="7">
        <v>16</v>
      </c>
      <c r="B19" s="8" t="s">
        <v>64</v>
      </c>
      <c r="C19" s="8">
        <v>5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12</v>
      </c>
      <c r="N19" s="8">
        <v>0</v>
      </c>
      <c r="O19" s="8">
        <v>22</v>
      </c>
      <c r="P19" s="8">
        <v>0</v>
      </c>
      <c r="Q19" s="8">
        <v>0</v>
      </c>
      <c r="R19" s="8">
        <v>0</v>
      </c>
      <c r="S19" s="8">
        <v>43</v>
      </c>
      <c r="T19" s="8">
        <v>0</v>
      </c>
    </row>
    <row r="20" spans="1:20">
      <c r="A20" s="7">
        <v>17</v>
      </c>
      <c r="B20" s="8" t="s">
        <v>65</v>
      </c>
      <c r="C20" s="8">
        <v>8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10</v>
      </c>
      <c r="N20" s="8">
        <v>0</v>
      </c>
      <c r="O20" s="8">
        <v>21</v>
      </c>
      <c r="P20" s="8">
        <v>0</v>
      </c>
      <c r="Q20" s="8">
        <v>0</v>
      </c>
      <c r="R20" s="8">
        <v>0</v>
      </c>
      <c r="S20" s="8">
        <v>38</v>
      </c>
      <c r="T20" s="8">
        <v>0</v>
      </c>
    </row>
    <row r="21" spans="1:20">
      <c r="A21" s="7">
        <v>18</v>
      </c>
      <c r="B21" s="8" t="s">
        <v>66</v>
      </c>
      <c r="C21" s="8">
        <v>6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10</v>
      </c>
      <c r="N21" s="8">
        <v>0</v>
      </c>
      <c r="O21" s="8">
        <v>11</v>
      </c>
      <c r="P21" s="8">
        <v>0</v>
      </c>
      <c r="Q21" s="8">
        <v>0</v>
      </c>
      <c r="R21" s="8">
        <v>0</v>
      </c>
      <c r="S21" s="8">
        <v>49</v>
      </c>
      <c r="T21" s="8">
        <v>0</v>
      </c>
    </row>
    <row r="22" spans="1:20">
      <c r="A22" s="7">
        <v>19</v>
      </c>
      <c r="B22" s="8" t="s">
        <v>67</v>
      </c>
      <c r="C22" s="8">
        <v>2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1</v>
      </c>
      <c r="N22" s="8">
        <v>0</v>
      </c>
      <c r="O22" s="8">
        <v>10</v>
      </c>
      <c r="P22" s="8">
        <v>0</v>
      </c>
      <c r="Q22" s="8">
        <v>2</v>
      </c>
      <c r="R22" s="8">
        <v>0</v>
      </c>
      <c r="S22" s="8">
        <v>47</v>
      </c>
      <c r="T22" s="8">
        <v>0</v>
      </c>
    </row>
    <row r="23" spans="1:20">
      <c r="A23" s="7">
        <v>20</v>
      </c>
      <c r="B23" s="8" t="s">
        <v>68</v>
      </c>
      <c r="C23" s="8">
        <v>7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11</v>
      </c>
      <c r="N23" s="8">
        <v>0</v>
      </c>
      <c r="O23" s="8">
        <v>11</v>
      </c>
      <c r="P23" s="8">
        <v>0</v>
      </c>
      <c r="Q23" s="8">
        <v>0</v>
      </c>
      <c r="R23" s="8">
        <v>0</v>
      </c>
      <c r="S23" s="8">
        <v>46</v>
      </c>
      <c r="T23" s="8">
        <v>0</v>
      </c>
    </row>
    <row r="24" spans="1:20">
      <c r="A24" s="7">
        <v>21</v>
      </c>
      <c r="B24" s="8" t="s">
        <v>69</v>
      </c>
      <c r="C24" s="8">
        <v>2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1</v>
      </c>
      <c r="N24" s="8">
        <v>0</v>
      </c>
      <c r="O24" s="8">
        <v>11</v>
      </c>
      <c r="P24" s="8">
        <v>0</v>
      </c>
      <c r="Q24" s="8">
        <v>0</v>
      </c>
      <c r="R24" s="8">
        <v>0</v>
      </c>
      <c r="S24" s="8">
        <v>45</v>
      </c>
      <c r="T24" s="8">
        <v>0</v>
      </c>
    </row>
    <row r="25" spans="1:20">
      <c r="A25" s="7">
        <v>22</v>
      </c>
      <c r="B25" s="8" t="s">
        <v>70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</row>
    <row r="26" spans="1:20">
      <c r="A26" s="7">
        <v>23</v>
      </c>
      <c r="B26" s="8" t="s">
        <v>71</v>
      </c>
      <c r="C26" s="8">
        <v>2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1</v>
      </c>
      <c r="N26" s="8">
        <v>0</v>
      </c>
      <c r="O26" s="8">
        <v>6</v>
      </c>
      <c r="P26" s="8">
        <v>0</v>
      </c>
      <c r="Q26" s="8">
        <v>0</v>
      </c>
      <c r="R26" s="8">
        <v>0</v>
      </c>
      <c r="S26" s="8">
        <v>46</v>
      </c>
      <c r="T26" s="8">
        <v>0</v>
      </c>
    </row>
    <row r="27" spans="1:20">
      <c r="A27" s="7">
        <v>24</v>
      </c>
      <c r="B27" s="8" t="s">
        <v>72</v>
      </c>
      <c r="C27" s="8">
        <v>4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4</v>
      </c>
      <c r="N27" s="8">
        <v>0</v>
      </c>
      <c r="O27" s="8">
        <v>13</v>
      </c>
      <c r="P27" s="8">
        <v>0</v>
      </c>
      <c r="Q27" s="8">
        <v>0</v>
      </c>
      <c r="R27" s="8">
        <v>0</v>
      </c>
      <c r="S27" s="8">
        <v>46</v>
      </c>
      <c r="T27" s="8">
        <v>0</v>
      </c>
    </row>
    <row r="28" spans="1:20">
      <c r="A28" s="7">
        <v>25</v>
      </c>
      <c r="B28" s="8" t="s">
        <v>73</v>
      </c>
      <c r="C28" s="8">
        <v>3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10</v>
      </c>
      <c r="N28" s="8">
        <v>0</v>
      </c>
      <c r="O28" s="8">
        <v>12</v>
      </c>
      <c r="P28" s="8">
        <v>0</v>
      </c>
      <c r="Q28" s="8">
        <v>0</v>
      </c>
      <c r="R28" s="8">
        <v>0</v>
      </c>
      <c r="S28" s="8">
        <v>49</v>
      </c>
      <c r="T28" s="8">
        <v>0</v>
      </c>
    </row>
    <row r="29" spans="1:20">
      <c r="A29" s="7">
        <v>26</v>
      </c>
      <c r="B29" s="8" t="s">
        <v>74</v>
      </c>
      <c r="C29" s="8">
        <v>6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2</v>
      </c>
      <c r="K29" s="8">
        <v>0</v>
      </c>
      <c r="L29" s="8">
        <v>0</v>
      </c>
      <c r="M29" s="8">
        <v>12</v>
      </c>
      <c r="N29" s="8">
        <v>0</v>
      </c>
      <c r="O29" s="8">
        <v>11</v>
      </c>
      <c r="P29" s="8">
        <v>0</v>
      </c>
      <c r="Q29" s="8">
        <v>0</v>
      </c>
      <c r="R29" s="8">
        <v>0</v>
      </c>
      <c r="S29" s="8">
        <v>45</v>
      </c>
      <c r="T29" s="8">
        <v>0</v>
      </c>
    </row>
    <row r="30" spans="1:20">
      <c r="A30" s="7">
        <v>27</v>
      </c>
      <c r="B30" s="8" t="s">
        <v>75</v>
      </c>
      <c r="C30" s="8">
        <v>5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6</v>
      </c>
      <c r="N30" s="8">
        <v>0</v>
      </c>
      <c r="O30" s="8">
        <v>14</v>
      </c>
      <c r="P30" s="8">
        <v>0</v>
      </c>
      <c r="Q30" s="8">
        <v>0</v>
      </c>
      <c r="R30" s="8">
        <v>0</v>
      </c>
      <c r="S30" s="8">
        <v>49</v>
      </c>
      <c r="T30" s="8">
        <v>0</v>
      </c>
    </row>
    <row r="31" spans="1:20">
      <c r="A31" s="7">
        <v>28</v>
      </c>
      <c r="B31" s="8" t="s">
        <v>76</v>
      </c>
      <c r="C31" s="8">
        <v>6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3</v>
      </c>
      <c r="K31" s="8">
        <v>0</v>
      </c>
      <c r="L31" s="8">
        <v>0</v>
      </c>
      <c r="M31" s="8">
        <v>12</v>
      </c>
      <c r="N31" s="8">
        <v>0</v>
      </c>
      <c r="O31" s="8">
        <v>15</v>
      </c>
      <c r="P31" s="8">
        <v>0</v>
      </c>
      <c r="Q31" s="8">
        <v>0</v>
      </c>
      <c r="R31" s="8">
        <v>0</v>
      </c>
      <c r="S31" s="8">
        <v>50</v>
      </c>
      <c r="T31" s="8">
        <v>0</v>
      </c>
    </row>
    <row r="32" spans="1:20">
      <c r="A32" s="4"/>
      <c r="B32" s="5"/>
      <c r="C32" s="6">
        <f>SUM(C4:C31)</f>
        <v>108</v>
      </c>
      <c r="D32" s="6">
        <f t="shared" ref="D32:T32" si="0">SUM(D4:D31)</f>
        <v>0</v>
      </c>
      <c r="E32" s="6">
        <f t="shared" si="0"/>
        <v>0</v>
      </c>
      <c r="F32" s="6">
        <f t="shared" si="0"/>
        <v>0</v>
      </c>
      <c r="G32" s="6">
        <f t="shared" si="0"/>
        <v>0</v>
      </c>
      <c r="H32" s="6">
        <f t="shared" si="0"/>
        <v>0</v>
      </c>
      <c r="I32" s="6">
        <f t="shared" si="0"/>
        <v>0</v>
      </c>
      <c r="J32" s="6">
        <f t="shared" si="0"/>
        <v>5</v>
      </c>
      <c r="K32" s="6">
        <f t="shared" si="0"/>
        <v>0</v>
      </c>
      <c r="L32" s="6">
        <f t="shared" si="0"/>
        <v>0</v>
      </c>
      <c r="M32" s="6">
        <f t="shared" si="0"/>
        <v>177</v>
      </c>
      <c r="N32" s="6">
        <f t="shared" si="0"/>
        <v>0</v>
      </c>
      <c r="O32" s="6">
        <f t="shared" si="0"/>
        <v>331</v>
      </c>
      <c r="P32" s="6">
        <f t="shared" si="0"/>
        <v>47</v>
      </c>
      <c r="Q32" s="6">
        <f t="shared" si="0"/>
        <v>59</v>
      </c>
      <c r="R32" s="6">
        <f t="shared" si="0"/>
        <v>0</v>
      </c>
      <c r="S32" s="6">
        <f t="shared" si="0"/>
        <v>1062</v>
      </c>
      <c r="T32" s="6">
        <f t="shared" si="0"/>
        <v>6</v>
      </c>
    </row>
  </sheetData>
  <mergeCells count="10">
    <mergeCell ref="A1:T1"/>
    <mergeCell ref="C2:D2"/>
    <mergeCell ref="E2:F2"/>
    <mergeCell ref="G2:H2"/>
    <mergeCell ref="I2:J2"/>
    <mergeCell ref="K2:L2"/>
    <mergeCell ref="M2:N2"/>
    <mergeCell ref="O2:P2"/>
    <mergeCell ref="Q2:R2"/>
    <mergeCell ref="S2:T2"/>
  </mergeCells>
  <hyperlinks>
    <hyperlink ref="A2" r:id="rId1" xr:uid="{00000000-0004-0000-03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32"/>
  <sheetViews>
    <sheetView workbookViewId="0">
      <pane ySplit="1" topLeftCell="A5" activePane="bottomLeft" state="frozen"/>
      <selection pane="bottomLeft" activeCell="P32" sqref="P32"/>
    </sheetView>
  </sheetViews>
  <sheetFormatPr defaultColWidth="9" defaultRowHeight="15"/>
  <cols>
    <col min="1" max="1" width="4.85546875" customWidth="1"/>
    <col min="2" max="2" width="8.42578125" customWidth="1"/>
    <col min="3" max="3" width="4.7109375" customWidth="1"/>
    <col min="4" max="4" width="5.7109375" customWidth="1"/>
    <col min="5" max="5" width="4.42578125" customWidth="1"/>
    <col min="6" max="6" width="5.85546875" customWidth="1"/>
    <col min="7" max="7" width="5.140625" customWidth="1"/>
    <col min="8" max="8" width="5.85546875" customWidth="1"/>
    <col min="9" max="9" width="4.28515625" customWidth="1"/>
    <col min="10" max="10" width="6.140625" customWidth="1"/>
    <col min="11" max="11" width="4.28515625" customWidth="1"/>
    <col min="12" max="12" width="5.85546875" customWidth="1"/>
    <col min="13" max="13" width="5.140625" customWidth="1"/>
    <col min="14" max="14" width="5.85546875" customWidth="1"/>
    <col min="15" max="15" width="4.28515625" customWidth="1"/>
    <col min="16" max="16" width="5.85546875" customWidth="1"/>
    <col min="17" max="17" width="4.5703125" customWidth="1"/>
    <col min="18" max="18" width="5.85546875" customWidth="1"/>
    <col min="19" max="19" width="4.85546875" customWidth="1"/>
    <col min="20" max="20" width="5.7109375" customWidth="1"/>
  </cols>
  <sheetData>
    <row r="1" spans="1:20" ht="19.5" customHeight="1">
      <c r="A1" s="46" t="s">
        <v>77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</row>
    <row r="2" spans="1:20">
      <c r="A2" s="2" t="s">
        <v>1</v>
      </c>
      <c r="B2" s="3" t="s">
        <v>2</v>
      </c>
      <c r="C2" s="41" t="s">
        <v>3</v>
      </c>
      <c r="D2" s="42"/>
      <c r="E2" s="41" t="s">
        <v>4</v>
      </c>
      <c r="F2" s="42"/>
      <c r="G2" s="41" t="s">
        <v>5</v>
      </c>
      <c r="H2" s="42"/>
      <c r="I2" s="41" t="s">
        <v>6</v>
      </c>
      <c r="J2" s="42"/>
      <c r="K2" s="41" t="s">
        <v>7</v>
      </c>
      <c r="L2" s="42"/>
      <c r="M2" s="41" t="s">
        <v>8</v>
      </c>
      <c r="N2" s="42"/>
      <c r="O2" s="41" t="s">
        <v>9</v>
      </c>
      <c r="P2" s="42"/>
      <c r="Q2" s="41" t="s">
        <v>10</v>
      </c>
      <c r="R2" s="42"/>
      <c r="S2" s="41" t="s">
        <v>11</v>
      </c>
      <c r="T2" s="42"/>
    </row>
    <row r="3" spans="1:20" ht="16.5" customHeight="1">
      <c r="A3" s="4"/>
      <c r="B3" s="5"/>
      <c r="C3" s="6" t="s">
        <v>12</v>
      </c>
      <c r="D3" s="6" t="s">
        <v>13</v>
      </c>
      <c r="E3" s="6" t="s">
        <v>12</v>
      </c>
      <c r="F3" s="6" t="s">
        <v>13</v>
      </c>
      <c r="G3" s="6" t="s">
        <v>12</v>
      </c>
      <c r="H3" s="6" t="s">
        <v>13</v>
      </c>
      <c r="I3" s="6" t="s">
        <v>12</v>
      </c>
      <c r="J3" s="6" t="s">
        <v>13</v>
      </c>
      <c r="K3" s="6" t="s">
        <v>12</v>
      </c>
      <c r="L3" s="6" t="s">
        <v>13</v>
      </c>
      <c r="M3" s="6" t="s">
        <v>12</v>
      </c>
      <c r="N3" s="6" t="s">
        <v>13</v>
      </c>
      <c r="O3" s="6" t="s">
        <v>12</v>
      </c>
      <c r="P3" s="6" t="s">
        <v>13</v>
      </c>
      <c r="Q3" s="6" t="s">
        <v>12</v>
      </c>
      <c r="R3" s="6" t="s">
        <v>13</v>
      </c>
      <c r="S3" s="6" t="s">
        <v>12</v>
      </c>
      <c r="T3" s="6" t="s">
        <v>13</v>
      </c>
    </row>
    <row r="4" spans="1:20">
      <c r="A4" s="7">
        <v>1</v>
      </c>
      <c r="B4" s="8" t="s">
        <v>49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3</v>
      </c>
      <c r="T4" s="8">
        <v>0</v>
      </c>
    </row>
    <row r="5" spans="1:20">
      <c r="A5" s="7">
        <v>2</v>
      </c>
      <c r="B5" s="8" t="s">
        <v>50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6</v>
      </c>
      <c r="Q5" s="8">
        <v>0</v>
      </c>
      <c r="R5" s="8">
        <v>0</v>
      </c>
      <c r="S5" s="8">
        <v>7</v>
      </c>
      <c r="T5" s="8">
        <v>0</v>
      </c>
    </row>
    <row r="6" spans="1:20">
      <c r="A6" s="7">
        <v>3</v>
      </c>
      <c r="B6" s="8" t="s">
        <v>51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3</v>
      </c>
      <c r="Q6" s="8">
        <v>0</v>
      </c>
      <c r="R6" s="8">
        <v>0</v>
      </c>
      <c r="S6" s="8">
        <v>3</v>
      </c>
      <c r="T6" s="8">
        <v>0</v>
      </c>
    </row>
    <row r="7" spans="1:20">
      <c r="A7" s="7">
        <v>4</v>
      </c>
      <c r="B7" s="8" t="s">
        <v>52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</row>
    <row r="8" spans="1:20">
      <c r="A8" s="7">
        <v>5</v>
      </c>
      <c r="B8" s="8" t="s">
        <v>53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5</v>
      </c>
      <c r="T8" s="8">
        <v>0</v>
      </c>
    </row>
    <row r="9" spans="1:20">
      <c r="A9" s="7">
        <v>6</v>
      </c>
      <c r="B9" s="8" t="s">
        <v>54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5</v>
      </c>
      <c r="T9" s="8">
        <v>0</v>
      </c>
    </row>
    <row r="10" spans="1:20">
      <c r="A10" s="7">
        <v>7</v>
      </c>
      <c r="B10" s="8" t="s">
        <v>55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4</v>
      </c>
      <c r="T10" s="8">
        <v>0</v>
      </c>
    </row>
    <row r="11" spans="1:20">
      <c r="A11" s="7">
        <v>8</v>
      </c>
      <c r="B11" s="8" t="s">
        <v>56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 spans="1:20">
      <c r="A12" s="7">
        <v>9</v>
      </c>
      <c r="B12" s="8" t="s">
        <v>57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2</v>
      </c>
      <c r="T12" s="8">
        <v>0</v>
      </c>
    </row>
    <row r="13" spans="1:20">
      <c r="A13" s="7">
        <v>10</v>
      </c>
      <c r="B13" s="8" t="s">
        <v>58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3</v>
      </c>
      <c r="T13" s="8">
        <v>0</v>
      </c>
    </row>
    <row r="14" spans="1:20">
      <c r="A14" s="7">
        <v>11</v>
      </c>
      <c r="B14" s="8" t="s">
        <v>59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4</v>
      </c>
      <c r="T14" s="8">
        <v>0</v>
      </c>
    </row>
    <row r="15" spans="1:20">
      <c r="A15" s="7">
        <v>12</v>
      </c>
      <c r="B15" s="8" t="s">
        <v>60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4</v>
      </c>
      <c r="T15" s="8">
        <v>0</v>
      </c>
    </row>
    <row r="16" spans="1:20">
      <c r="A16" s="7">
        <v>13</v>
      </c>
      <c r="B16" s="8" t="s">
        <v>61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4</v>
      </c>
      <c r="T16" s="8">
        <v>0</v>
      </c>
    </row>
    <row r="17" spans="1:20">
      <c r="A17" s="7">
        <v>14</v>
      </c>
      <c r="B17" s="8" t="s">
        <v>62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4</v>
      </c>
      <c r="T17" s="8">
        <v>0</v>
      </c>
    </row>
    <row r="18" spans="1:20">
      <c r="A18" s="7">
        <v>15</v>
      </c>
      <c r="B18" s="8" t="s">
        <v>63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 spans="1:20">
      <c r="A19" s="7">
        <v>16</v>
      </c>
      <c r="B19" s="8" t="s">
        <v>64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4</v>
      </c>
      <c r="T19" s="8">
        <v>0</v>
      </c>
    </row>
    <row r="20" spans="1:20">
      <c r="A20" s="7">
        <v>17</v>
      </c>
      <c r="B20" s="8" t="s">
        <v>65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11</v>
      </c>
      <c r="R20" s="8">
        <v>0</v>
      </c>
      <c r="S20" s="8">
        <v>4</v>
      </c>
      <c r="T20" s="8">
        <v>0</v>
      </c>
    </row>
    <row r="21" spans="1:20">
      <c r="A21" s="7">
        <v>18</v>
      </c>
      <c r="B21" s="8" t="s">
        <v>66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10</v>
      </c>
      <c r="R21" s="8">
        <v>0</v>
      </c>
      <c r="S21" s="8">
        <v>2</v>
      </c>
      <c r="T21" s="8">
        <v>0</v>
      </c>
    </row>
    <row r="22" spans="1:20">
      <c r="A22" s="7">
        <v>19</v>
      </c>
      <c r="B22" s="8" t="s">
        <v>67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10</v>
      </c>
      <c r="R22" s="8">
        <v>0</v>
      </c>
      <c r="S22" s="8">
        <v>2</v>
      </c>
      <c r="T22" s="8">
        <v>0</v>
      </c>
    </row>
    <row r="23" spans="1:20">
      <c r="A23" s="7">
        <v>20</v>
      </c>
      <c r="B23" s="8" t="s">
        <v>68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5</v>
      </c>
      <c r="O23" s="8">
        <v>0</v>
      </c>
      <c r="P23" s="8">
        <v>4</v>
      </c>
      <c r="Q23" s="8">
        <v>10</v>
      </c>
      <c r="R23" s="8">
        <v>0</v>
      </c>
      <c r="S23" s="8">
        <v>1</v>
      </c>
      <c r="T23" s="8">
        <v>1</v>
      </c>
    </row>
    <row r="24" spans="1:20">
      <c r="A24" s="7">
        <v>21</v>
      </c>
      <c r="B24" s="8" t="s">
        <v>69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3</v>
      </c>
      <c r="N24" s="8">
        <v>4</v>
      </c>
      <c r="O24" s="8">
        <v>0</v>
      </c>
      <c r="P24" s="8">
        <v>4</v>
      </c>
      <c r="Q24" s="8">
        <v>5</v>
      </c>
      <c r="R24" s="8">
        <v>0</v>
      </c>
      <c r="S24" s="8">
        <v>1</v>
      </c>
      <c r="T24" s="8">
        <v>0</v>
      </c>
    </row>
    <row r="25" spans="1:20">
      <c r="A25" s="7">
        <v>22</v>
      </c>
      <c r="B25" s="8" t="s">
        <v>70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>
        <v>4</v>
      </c>
      <c r="R25" s="8">
        <v>0</v>
      </c>
      <c r="S25" s="8">
        <v>3</v>
      </c>
      <c r="T25" s="8">
        <v>0</v>
      </c>
    </row>
    <row r="26" spans="1:20">
      <c r="A26" s="7">
        <v>23</v>
      </c>
      <c r="B26" s="8" t="s">
        <v>71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4</v>
      </c>
      <c r="J26" s="8">
        <v>0</v>
      </c>
      <c r="K26" s="8">
        <v>0</v>
      </c>
      <c r="L26" s="8">
        <v>0</v>
      </c>
      <c r="M26" s="8">
        <v>5</v>
      </c>
      <c r="N26" s="8">
        <v>6</v>
      </c>
      <c r="O26" s="8">
        <v>0</v>
      </c>
      <c r="P26" s="8">
        <v>5</v>
      </c>
      <c r="Q26" s="8">
        <v>4</v>
      </c>
      <c r="R26" s="8">
        <v>0</v>
      </c>
      <c r="S26" s="8">
        <v>1</v>
      </c>
      <c r="T26" s="8">
        <v>0</v>
      </c>
    </row>
    <row r="27" spans="1:20">
      <c r="A27" s="7">
        <v>24</v>
      </c>
      <c r="B27" s="8" t="s">
        <v>72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3</v>
      </c>
      <c r="K27" s="8">
        <v>0</v>
      </c>
      <c r="L27" s="8">
        <v>0</v>
      </c>
      <c r="M27" s="8">
        <v>5</v>
      </c>
      <c r="N27" s="8">
        <v>0</v>
      </c>
      <c r="O27" s="8">
        <v>0</v>
      </c>
      <c r="P27" s="8">
        <v>0</v>
      </c>
      <c r="Q27" s="8">
        <v>4</v>
      </c>
      <c r="R27" s="8">
        <v>0</v>
      </c>
      <c r="S27" s="8">
        <v>3</v>
      </c>
      <c r="T27" s="8">
        <v>0</v>
      </c>
    </row>
    <row r="28" spans="1:20">
      <c r="A28" s="7">
        <v>25</v>
      </c>
      <c r="B28" s="8" t="s">
        <v>73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2</v>
      </c>
      <c r="K28" s="8">
        <v>0</v>
      </c>
      <c r="L28" s="8">
        <v>0</v>
      </c>
      <c r="M28" s="8">
        <v>1</v>
      </c>
      <c r="N28" s="8">
        <v>0</v>
      </c>
      <c r="O28" s="8">
        <v>0</v>
      </c>
      <c r="P28" s="8">
        <v>0</v>
      </c>
      <c r="Q28" s="8">
        <v>4</v>
      </c>
      <c r="R28" s="8">
        <v>0</v>
      </c>
      <c r="S28" s="8">
        <v>5</v>
      </c>
      <c r="T28" s="8">
        <v>0</v>
      </c>
    </row>
    <row r="29" spans="1:20">
      <c r="A29" s="7">
        <v>26</v>
      </c>
      <c r="B29" s="8" t="s">
        <v>74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2</v>
      </c>
      <c r="K29" s="8">
        <v>0</v>
      </c>
      <c r="L29" s="8">
        <v>0</v>
      </c>
      <c r="M29" s="8">
        <v>1</v>
      </c>
      <c r="N29" s="8">
        <v>0</v>
      </c>
      <c r="O29" s="8">
        <v>0</v>
      </c>
      <c r="P29" s="8">
        <v>0</v>
      </c>
      <c r="Q29" s="8">
        <v>5</v>
      </c>
      <c r="R29" s="8">
        <v>0</v>
      </c>
      <c r="S29" s="8">
        <v>4</v>
      </c>
      <c r="T29" s="8">
        <v>0</v>
      </c>
    </row>
    <row r="30" spans="1:20">
      <c r="A30" s="7">
        <v>27</v>
      </c>
      <c r="B30" s="8" t="s">
        <v>75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4</v>
      </c>
      <c r="T30" s="8">
        <v>0</v>
      </c>
    </row>
    <row r="31" spans="1:20">
      <c r="A31" s="7">
        <v>28</v>
      </c>
      <c r="B31" s="8" t="s">
        <v>76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3</v>
      </c>
      <c r="J31" s="8">
        <v>0</v>
      </c>
      <c r="K31" s="8">
        <v>0</v>
      </c>
      <c r="L31" s="8">
        <v>0</v>
      </c>
      <c r="M31" s="8">
        <v>1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4</v>
      </c>
      <c r="T31" s="8">
        <v>0</v>
      </c>
    </row>
    <row r="32" spans="1:20">
      <c r="A32" s="4"/>
      <c r="B32" s="5"/>
      <c r="C32" s="8">
        <f>SUM(C4:C31)</f>
        <v>0</v>
      </c>
      <c r="D32" s="8">
        <f t="shared" ref="D32:T32" si="0">SUM(D4:D31)</f>
        <v>0</v>
      </c>
      <c r="E32" s="8">
        <f t="shared" si="0"/>
        <v>0</v>
      </c>
      <c r="F32" s="8">
        <f t="shared" si="0"/>
        <v>0</v>
      </c>
      <c r="G32" s="8">
        <f t="shared" si="0"/>
        <v>0</v>
      </c>
      <c r="H32" s="8">
        <f t="shared" si="0"/>
        <v>0</v>
      </c>
      <c r="I32" s="8">
        <f t="shared" si="0"/>
        <v>7</v>
      </c>
      <c r="J32" s="8">
        <f t="shared" si="0"/>
        <v>7</v>
      </c>
      <c r="K32" s="8">
        <f t="shared" si="0"/>
        <v>0</v>
      </c>
      <c r="L32" s="8">
        <f t="shared" si="0"/>
        <v>0</v>
      </c>
      <c r="M32" s="8">
        <f t="shared" si="0"/>
        <v>16</v>
      </c>
      <c r="N32" s="8">
        <f t="shared" si="0"/>
        <v>15</v>
      </c>
      <c r="O32" s="8">
        <f t="shared" si="0"/>
        <v>0</v>
      </c>
      <c r="P32" s="8">
        <f t="shared" si="0"/>
        <v>22</v>
      </c>
      <c r="Q32" s="8">
        <f t="shared" si="0"/>
        <v>67</v>
      </c>
      <c r="R32" s="8">
        <f t="shared" si="0"/>
        <v>0</v>
      </c>
      <c r="S32" s="8">
        <f t="shared" si="0"/>
        <v>86</v>
      </c>
      <c r="T32" s="8">
        <f t="shared" si="0"/>
        <v>1</v>
      </c>
    </row>
  </sheetData>
  <mergeCells count="10">
    <mergeCell ref="A1:T1"/>
    <mergeCell ref="C2:D2"/>
    <mergeCell ref="E2:F2"/>
    <mergeCell ref="G2:H2"/>
    <mergeCell ref="I2:J2"/>
    <mergeCell ref="K2:L2"/>
    <mergeCell ref="M2:N2"/>
    <mergeCell ref="O2:P2"/>
    <mergeCell ref="Q2:R2"/>
    <mergeCell ref="S2:T2"/>
  </mergeCells>
  <hyperlinks>
    <hyperlink ref="A2" r:id="rId1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32"/>
  <sheetViews>
    <sheetView topLeftCell="A13" workbookViewId="0">
      <selection activeCell="U25" sqref="U25"/>
    </sheetView>
  </sheetViews>
  <sheetFormatPr defaultColWidth="9" defaultRowHeight="15"/>
  <cols>
    <col min="1" max="1" width="5.28515625" customWidth="1"/>
    <col min="2" max="2" width="8.42578125" customWidth="1"/>
    <col min="3" max="3" width="5.28515625" customWidth="1"/>
    <col min="4" max="4" width="5.85546875" customWidth="1"/>
    <col min="5" max="5" width="4.28515625" customWidth="1"/>
    <col min="6" max="6" width="5.85546875" customWidth="1"/>
    <col min="7" max="7" width="4.28515625" customWidth="1"/>
    <col min="8" max="8" width="5.85546875" customWidth="1"/>
    <col min="9" max="9" width="4.28515625" customWidth="1"/>
    <col min="10" max="10" width="5.85546875" customWidth="1"/>
    <col min="11" max="11" width="4.28515625" customWidth="1"/>
    <col min="12" max="12" width="5.85546875" customWidth="1"/>
    <col min="13" max="13" width="4.28515625" customWidth="1"/>
    <col min="14" max="14" width="5.85546875" customWidth="1"/>
    <col min="15" max="15" width="4.28515625" customWidth="1"/>
    <col min="16" max="16" width="5.85546875" customWidth="1"/>
    <col min="17" max="17" width="4.28515625" customWidth="1"/>
    <col min="18" max="18" width="5.85546875" customWidth="1"/>
    <col min="22" max="22" width="41.5703125" customWidth="1"/>
  </cols>
  <sheetData>
    <row r="1" spans="1:20" ht="19.5" customHeight="1">
      <c r="A1" s="38" t="s">
        <v>78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40"/>
    </row>
    <row r="2" spans="1:20" ht="15.75" customHeight="1">
      <c r="A2" s="2" t="s">
        <v>1</v>
      </c>
      <c r="B2" s="3" t="s">
        <v>2</v>
      </c>
      <c r="C2" s="41" t="s">
        <v>3</v>
      </c>
      <c r="D2" s="42"/>
      <c r="E2" s="41" t="s">
        <v>4</v>
      </c>
      <c r="F2" s="42"/>
      <c r="G2" s="41" t="s">
        <v>5</v>
      </c>
      <c r="H2" s="42"/>
      <c r="I2" s="41" t="s">
        <v>6</v>
      </c>
      <c r="J2" s="42"/>
      <c r="K2" s="41" t="s">
        <v>7</v>
      </c>
      <c r="L2" s="42"/>
      <c r="M2" s="41" t="s">
        <v>8</v>
      </c>
      <c r="N2" s="42"/>
      <c r="O2" s="41" t="s">
        <v>9</v>
      </c>
      <c r="P2" s="42"/>
      <c r="Q2" s="41" t="s">
        <v>10</v>
      </c>
      <c r="R2" s="42"/>
    </row>
    <row r="3" spans="1:20">
      <c r="A3" s="4"/>
      <c r="B3" s="5"/>
      <c r="C3" s="6" t="s">
        <v>12</v>
      </c>
      <c r="D3" s="6" t="s">
        <v>13</v>
      </c>
      <c r="E3" s="6" t="s">
        <v>12</v>
      </c>
      <c r="F3" s="6" t="s">
        <v>13</v>
      </c>
      <c r="G3" s="6" t="s">
        <v>12</v>
      </c>
      <c r="H3" s="6" t="s">
        <v>13</v>
      </c>
      <c r="I3" s="6" t="s">
        <v>12</v>
      </c>
      <c r="J3" s="6" t="s">
        <v>13</v>
      </c>
      <c r="K3" s="6" t="s">
        <v>12</v>
      </c>
      <c r="L3" s="6" t="s">
        <v>13</v>
      </c>
      <c r="M3" s="6" t="s">
        <v>12</v>
      </c>
      <c r="N3" s="6" t="s">
        <v>13</v>
      </c>
      <c r="O3" s="6" t="s">
        <v>12</v>
      </c>
      <c r="P3" s="6" t="s">
        <v>13</v>
      </c>
      <c r="Q3" s="6" t="s">
        <v>12</v>
      </c>
      <c r="R3" s="6" t="s">
        <v>13</v>
      </c>
    </row>
    <row r="4" spans="1:20">
      <c r="A4" s="7">
        <v>1</v>
      </c>
      <c r="B4" s="8" t="s">
        <v>49</v>
      </c>
      <c r="C4" s="8">
        <v>1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2</v>
      </c>
      <c r="N4" s="8">
        <v>0</v>
      </c>
      <c r="O4" s="8">
        <v>1</v>
      </c>
      <c r="P4" s="8">
        <v>0</v>
      </c>
      <c r="Q4" s="8">
        <v>2</v>
      </c>
      <c r="R4" s="8">
        <v>0</v>
      </c>
    </row>
    <row r="5" spans="1:20">
      <c r="A5" s="7">
        <v>2</v>
      </c>
      <c r="B5" s="8" t="s">
        <v>50</v>
      </c>
      <c r="C5" s="8">
        <v>1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2</v>
      </c>
      <c r="N5" s="8">
        <v>0</v>
      </c>
      <c r="O5" s="8">
        <v>20</v>
      </c>
      <c r="P5" s="8">
        <v>6</v>
      </c>
      <c r="Q5" s="8">
        <v>1</v>
      </c>
      <c r="R5" s="8">
        <v>0</v>
      </c>
    </row>
    <row r="6" spans="1:20">
      <c r="A6" s="7">
        <v>3</v>
      </c>
      <c r="B6" s="8" t="s">
        <v>51</v>
      </c>
      <c r="C6" s="8">
        <v>3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5</v>
      </c>
      <c r="N6" s="8">
        <v>0</v>
      </c>
      <c r="O6" s="8">
        <v>20</v>
      </c>
      <c r="P6" s="8">
        <v>0</v>
      </c>
      <c r="Q6" s="8">
        <v>1</v>
      </c>
      <c r="R6" s="8">
        <v>0</v>
      </c>
    </row>
    <row r="7" spans="1:20">
      <c r="A7" s="7">
        <v>4</v>
      </c>
      <c r="B7" s="8" t="s">
        <v>52</v>
      </c>
      <c r="C7" s="8">
        <v>9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14</v>
      </c>
      <c r="N7" s="8"/>
      <c r="O7" s="8">
        <v>23</v>
      </c>
      <c r="P7" s="8">
        <v>13</v>
      </c>
      <c r="Q7" s="8">
        <v>17</v>
      </c>
      <c r="R7" s="8">
        <v>0</v>
      </c>
    </row>
    <row r="8" spans="1:20">
      <c r="A8" s="7">
        <v>5</v>
      </c>
      <c r="B8" s="8" t="s">
        <v>53</v>
      </c>
      <c r="C8" s="8">
        <v>9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17</v>
      </c>
      <c r="N8" s="8">
        <v>0</v>
      </c>
      <c r="O8" s="8">
        <v>21</v>
      </c>
      <c r="P8" s="8">
        <v>16</v>
      </c>
      <c r="Q8" s="8">
        <v>26</v>
      </c>
      <c r="R8" s="8">
        <v>0</v>
      </c>
    </row>
    <row r="9" spans="1:20">
      <c r="A9" s="7">
        <v>6</v>
      </c>
      <c r="B9" s="8" t="s">
        <v>54</v>
      </c>
      <c r="C9" s="8">
        <v>8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17</v>
      </c>
      <c r="N9" s="8">
        <v>0</v>
      </c>
      <c r="O9" s="8">
        <v>20</v>
      </c>
      <c r="P9" s="8">
        <v>17</v>
      </c>
      <c r="Q9" s="8">
        <v>15</v>
      </c>
      <c r="R9" s="8">
        <v>0</v>
      </c>
    </row>
    <row r="10" spans="1:20">
      <c r="A10" s="7">
        <v>7</v>
      </c>
      <c r="B10" s="8" t="s">
        <v>55</v>
      </c>
      <c r="C10" s="8">
        <v>1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3</v>
      </c>
      <c r="N10" s="8">
        <v>0</v>
      </c>
      <c r="O10" s="8">
        <v>19</v>
      </c>
      <c r="P10" s="8">
        <v>0</v>
      </c>
      <c r="Q10" s="8">
        <v>1</v>
      </c>
      <c r="R10" s="8">
        <v>0</v>
      </c>
    </row>
    <row r="11" spans="1:20">
      <c r="A11" s="7">
        <v>8</v>
      </c>
      <c r="B11" s="8" t="s">
        <v>56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</row>
    <row r="12" spans="1:20">
      <c r="A12" s="7">
        <v>9</v>
      </c>
      <c r="B12" s="8" t="s">
        <v>57</v>
      </c>
      <c r="C12" s="8">
        <v>1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2</v>
      </c>
      <c r="N12" s="8">
        <v>0</v>
      </c>
      <c r="O12" s="8">
        <v>38</v>
      </c>
      <c r="P12" s="8">
        <v>0</v>
      </c>
      <c r="Q12" s="8">
        <v>1</v>
      </c>
      <c r="R12" s="8">
        <v>0</v>
      </c>
    </row>
    <row r="13" spans="1:20">
      <c r="A13" s="7">
        <v>10</v>
      </c>
      <c r="B13" s="8" t="s">
        <v>58</v>
      </c>
      <c r="C13" s="8">
        <v>4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14</v>
      </c>
      <c r="N13" s="8">
        <v>0</v>
      </c>
      <c r="O13" s="8">
        <v>36</v>
      </c>
      <c r="P13" s="8">
        <v>0</v>
      </c>
      <c r="Q13" s="8">
        <v>6</v>
      </c>
      <c r="R13" s="8">
        <v>0</v>
      </c>
    </row>
    <row r="14" spans="1:20">
      <c r="A14" s="7">
        <v>11</v>
      </c>
      <c r="B14" s="8" t="s">
        <v>59</v>
      </c>
      <c r="C14" s="8">
        <v>4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12</v>
      </c>
      <c r="N14" s="8"/>
      <c r="O14" s="8">
        <v>34</v>
      </c>
      <c r="P14" s="8">
        <v>0</v>
      </c>
      <c r="Q14" s="8">
        <v>10</v>
      </c>
      <c r="R14" s="8">
        <v>0</v>
      </c>
      <c r="T14" s="26"/>
    </row>
    <row r="15" spans="1:20">
      <c r="A15" s="7">
        <v>12</v>
      </c>
      <c r="B15" s="8" t="s">
        <v>60</v>
      </c>
      <c r="C15" s="8">
        <v>1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3</v>
      </c>
      <c r="N15" s="8">
        <v>0</v>
      </c>
      <c r="O15" s="8">
        <v>39</v>
      </c>
      <c r="P15" s="8">
        <v>0</v>
      </c>
      <c r="Q15" s="8">
        <v>1</v>
      </c>
      <c r="R15" s="8">
        <v>0</v>
      </c>
    </row>
    <row r="16" spans="1:20">
      <c r="A16" s="7">
        <v>13</v>
      </c>
      <c r="B16" s="8" t="s">
        <v>61</v>
      </c>
      <c r="C16" s="8">
        <v>4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7</v>
      </c>
      <c r="N16" s="8">
        <v>0</v>
      </c>
      <c r="O16" s="8">
        <v>34</v>
      </c>
      <c r="P16" s="8">
        <v>5</v>
      </c>
      <c r="Q16" s="8">
        <v>1</v>
      </c>
      <c r="R16" s="8">
        <v>0</v>
      </c>
    </row>
    <row r="17" spans="1:18">
      <c r="A17" s="7">
        <v>14</v>
      </c>
      <c r="B17" s="8" t="s">
        <v>62</v>
      </c>
      <c r="C17" s="8">
        <v>6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12</v>
      </c>
      <c r="N17" s="8">
        <v>0</v>
      </c>
      <c r="O17" s="8">
        <v>32</v>
      </c>
      <c r="P17" s="8">
        <v>0</v>
      </c>
      <c r="Q17" s="8"/>
      <c r="R17" s="8">
        <v>0</v>
      </c>
    </row>
    <row r="18" spans="1:18">
      <c r="A18" s="7">
        <v>15</v>
      </c>
      <c r="B18" s="8" t="s">
        <v>63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</row>
    <row r="19" spans="1:18">
      <c r="A19" s="7">
        <v>16</v>
      </c>
      <c r="B19" s="8" t="s">
        <v>64</v>
      </c>
      <c r="C19" s="8">
        <v>5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13</v>
      </c>
      <c r="N19" s="8">
        <v>0</v>
      </c>
      <c r="O19" s="8">
        <v>32</v>
      </c>
      <c r="P19" s="8">
        <v>0</v>
      </c>
      <c r="Q19" s="8">
        <v>1</v>
      </c>
      <c r="R19" s="8">
        <v>0</v>
      </c>
    </row>
    <row r="20" spans="1:18">
      <c r="A20" s="7">
        <v>17</v>
      </c>
      <c r="B20" s="8" t="s">
        <v>65</v>
      </c>
      <c r="C20" s="8">
        <v>8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12</v>
      </c>
      <c r="N20" s="8">
        <v>0</v>
      </c>
      <c r="O20" s="8">
        <v>32</v>
      </c>
      <c r="P20" s="8">
        <v>0</v>
      </c>
      <c r="Q20" s="8">
        <v>16</v>
      </c>
      <c r="R20" s="8">
        <v>0</v>
      </c>
    </row>
    <row r="21" spans="1:18">
      <c r="A21" s="7">
        <v>18</v>
      </c>
      <c r="B21" s="8" t="s">
        <v>66</v>
      </c>
      <c r="C21" s="8">
        <v>6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11</v>
      </c>
      <c r="N21" s="8">
        <v>0</v>
      </c>
      <c r="O21" s="8">
        <v>22</v>
      </c>
      <c r="P21" s="8">
        <v>0</v>
      </c>
      <c r="Q21" s="8">
        <v>14</v>
      </c>
      <c r="R21" s="8">
        <v>0</v>
      </c>
    </row>
    <row r="22" spans="1:18">
      <c r="A22" s="7">
        <v>19</v>
      </c>
      <c r="B22" s="8" t="s">
        <v>67</v>
      </c>
      <c r="C22" s="8">
        <v>2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2</v>
      </c>
      <c r="N22" s="8">
        <v>0</v>
      </c>
      <c r="O22" s="8">
        <v>17</v>
      </c>
      <c r="P22" s="8">
        <v>0</v>
      </c>
      <c r="Q22" s="8">
        <v>17</v>
      </c>
      <c r="R22" s="8">
        <v>0</v>
      </c>
    </row>
    <row r="23" spans="1:18">
      <c r="A23" s="7">
        <v>20</v>
      </c>
      <c r="B23" s="8" t="s">
        <v>68</v>
      </c>
      <c r="C23" s="8">
        <v>7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14</v>
      </c>
      <c r="N23" s="8">
        <v>6</v>
      </c>
      <c r="O23" s="8">
        <v>24</v>
      </c>
      <c r="P23" s="8">
        <v>4</v>
      </c>
      <c r="Q23" s="8">
        <v>22</v>
      </c>
      <c r="R23" s="8">
        <v>0</v>
      </c>
    </row>
    <row r="24" spans="1:18">
      <c r="A24" s="7">
        <v>21</v>
      </c>
      <c r="B24" s="8" t="s">
        <v>69</v>
      </c>
      <c r="C24" s="8">
        <v>2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6</v>
      </c>
      <c r="N24" s="8">
        <v>7</v>
      </c>
      <c r="O24" s="8">
        <v>21</v>
      </c>
      <c r="P24" s="8">
        <v>4</v>
      </c>
      <c r="Q24" s="8">
        <v>11</v>
      </c>
      <c r="R24" s="8">
        <v>0</v>
      </c>
    </row>
    <row r="25" spans="1:18">
      <c r="A25" s="7">
        <v>22</v>
      </c>
      <c r="B25" s="8" t="s">
        <v>70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</row>
    <row r="26" spans="1:18">
      <c r="A26" s="7">
        <v>23</v>
      </c>
      <c r="B26" s="8" t="s">
        <v>71</v>
      </c>
      <c r="C26" s="8">
        <v>2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4</v>
      </c>
      <c r="J26" s="8">
        <v>0</v>
      </c>
      <c r="K26" s="8">
        <v>0</v>
      </c>
      <c r="L26" s="8">
        <v>0</v>
      </c>
      <c r="M26" s="8">
        <v>8</v>
      </c>
      <c r="N26" s="8">
        <v>6</v>
      </c>
      <c r="O26" s="8">
        <v>18</v>
      </c>
      <c r="P26" s="8">
        <v>5</v>
      </c>
      <c r="Q26" s="8">
        <v>11</v>
      </c>
      <c r="R26" s="8">
        <v>0</v>
      </c>
    </row>
    <row r="27" spans="1:18">
      <c r="A27" s="7">
        <v>24</v>
      </c>
      <c r="B27" s="8" t="s">
        <v>72</v>
      </c>
      <c r="C27" s="8">
        <v>4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3</v>
      </c>
      <c r="J27" s="8">
        <v>0</v>
      </c>
      <c r="K27" s="8">
        <v>0</v>
      </c>
      <c r="L27" s="8">
        <v>0</v>
      </c>
      <c r="M27" s="8">
        <v>10</v>
      </c>
      <c r="N27" s="8">
        <v>0</v>
      </c>
      <c r="O27" s="8">
        <v>25</v>
      </c>
      <c r="P27" s="8">
        <v>0</v>
      </c>
      <c r="Q27" s="8">
        <v>12</v>
      </c>
      <c r="R27" s="8">
        <v>0</v>
      </c>
    </row>
    <row r="28" spans="1:18">
      <c r="A28" s="7">
        <v>25</v>
      </c>
      <c r="B28" s="8" t="s">
        <v>73</v>
      </c>
      <c r="C28" s="8">
        <v>3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2</v>
      </c>
      <c r="J28" s="8">
        <v>0</v>
      </c>
      <c r="K28" s="8">
        <v>0</v>
      </c>
      <c r="L28" s="8">
        <v>0</v>
      </c>
      <c r="M28" s="8">
        <v>13</v>
      </c>
      <c r="N28" s="8">
        <v>0</v>
      </c>
      <c r="O28" s="8">
        <v>25</v>
      </c>
      <c r="P28" s="8">
        <v>0</v>
      </c>
      <c r="Q28" s="8">
        <v>10</v>
      </c>
      <c r="R28" s="8">
        <v>0</v>
      </c>
    </row>
    <row r="29" spans="1:18">
      <c r="A29" s="7">
        <v>26</v>
      </c>
      <c r="B29" s="8" t="s">
        <v>74</v>
      </c>
      <c r="C29" s="8">
        <v>6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4</v>
      </c>
      <c r="J29" s="8">
        <v>0</v>
      </c>
      <c r="K29" s="8">
        <v>0</v>
      </c>
      <c r="L29" s="8">
        <v>0</v>
      </c>
      <c r="M29" s="8">
        <v>15</v>
      </c>
      <c r="N29" s="8">
        <v>0</v>
      </c>
      <c r="O29" s="8">
        <v>23</v>
      </c>
      <c r="P29" s="8">
        <v>0</v>
      </c>
      <c r="Q29" s="8">
        <v>11</v>
      </c>
      <c r="R29" s="8">
        <v>0</v>
      </c>
    </row>
    <row r="30" spans="1:18">
      <c r="A30" s="7">
        <v>27</v>
      </c>
      <c r="B30" s="8" t="s">
        <v>75</v>
      </c>
      <c r="C30" s="8">
        <v>5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8</v>
      </c>
      <c r="N30" s="8">
        <v>0</v>
      </c>
      <c r="O30" s="8">
        <v>25</v>
      </c>
      <c r="P30" s="8">
        <v>0</v>
      </c>
      <c r="Q30" s="8">
        <v>4</v>
      </c>
      <c r="R30" s="8">
        <v>0</v>
      </c>
    </row>
    <row r="31" spans="1:18">
      <c r="A31" s="7">
        <v>28</v>
      </c>
      <c r="B31" s="8" t="s">
        <v>76</v>
      </c>
      <c r="C31" s="8">
        <v>6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6</v>
      </c>
      <c r="J31" s="8">
        <v>0</v>
      </c>
      <c r="K31" s="8">
        <v>0</v>
      </c>
      <c r="L31" s="8">
        <v>0</v>
      </c>
      <c r="M31" s="8">
        <v>15</v>
      </c>
      <c r="N31" s="8">
        <v>0</v>
      </c>
      <c r="O31" s="8">
        <v>26</v>
      </c>
      <c r="P31" s="8">
        <v>0</v>
      </c>
      <c r="Q31" s="8">
        <v>5</v>
      </c>
      <c r="R31" s="8">
        <v>0</v>
      </c>
    </row>
    <row r="32" spans="1:18">
      <c r="A32" s="4"/>
      <c r="B32" s="5"/>
      <c r="C32" s="8">
        <f>SUM(C4:C31)</f>
        <v>108</v>
      </c>
      <c r="D32" s="8">
        <f t="shared" ref="D32:Q32" si="0">SUM(D4:D31)</f>
        <v>0</v>
      </c>
      <c r="E32" s="8">
        <f t="shared" si="0"/>
        <v>0</v>
      </c>
      <c r="F32" s="8">
        <f t="shared" si="0"/>
        <v>0</v>
      </c>
      <c r="G32" s="8">
        <f t="shared" si="0"/>
        <v>0</v>
      </c>
      <c r="H32" s="8">
        <f t="shared" si="0"/>
        <v>0</v>
      </c>
      <c r="I32" s="8">
        <f t="shared" si="0"/>
        <v>19</v>
      </c>
      <c r="J32" s="8">
        <f t="shared" si="0"/>
        <v>0</v>
      </c>
      <c r="K32" s="8">
        <f t="shared" si="0"/>
        <v>0</v>
      </c>
      <c r="L32" s="8">
        <f t="shared" si="0"/>
        <v>0</v>
      </c>
      <c r="M32" s="8">
        <f t="shared" si="0"/>
        <v>237</v>
      </c>
      <c r="N32" s="8">
        <f t="shared" si="0"/>
        <v>19</v>
      </c>
      <c r="O32" s="8">
        <f t="shared" si="0"/>
        <v>627</v>
      </c>
      <c r="P32" s="8">
        <f t="shared" si="0"/>
        <v>70</v>
      </c>
      <c r="Q32" s="8">
        <f t="shared" si="0"/>
        <v>216</v>
      </c>
      <c r="R32" s="8">
        <v>0</v>
      </c>
    </row>
  </sheetData>
  <mergeCells count="9">
    <mergeCell ref="A1:R1"/>
    <mergeCell ref="C2:D2"/>
    <mergeCell ref="E2:F2"/>
    <mergeCell ref="G2:H2"/>
    <mergeCell ref="I2:J2"/>
    <mergeCell ref="K2:L2"/>
    <mergeCell ref="M2:N2"/>
    <mergeCell ref="O2:P2"/>
    <mergeCell ref="Q2:R2"/>
  </mergeCells>
  <hyperlinks>
    <hyperlink ref="A2" r:id="rId1" xr:uid="{00000000-0004-0000-0500-000000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35"/>
  <sheetViews>
    <sheetView topLeftCell="A25" workbookViewId="0">
      <selection activeCell="K41" sqref="K41"/>
    </sheetView>
  </sheetViews>
  <sheetFormatPr defaultColWidth="9.140625" defaultRowHeight="15"/>
  <cols>
    <col min="1" max="1" width="4.5703125" customWidth="1"/>
    <col min="2" max="2" width="7.85546875" customWidth="1"/>
    <col min="3" max="3" width="4.5703125" customWidth="1"/>
    <col min="4" max="4" width="5.5703125" customWidth="1"/>
    <col min="5" max="5" width="4" customWidth="1"/>
    <col min="6" max="6" width="5.5703125" customWidth="1"/>
    <col min="7" max="7" width="4" customWidth="1"/>
    <col min="8" max="8" width="5.5703125" customWidth="1"/>
    <col min="9" max="9" width="4" customWidth="1"/>
    <col min="10" max="10" width="5.5703125" customWidth="1"/>
    <col min="11" max="11" width="4" customWidth="1"/>
    <col min="12" max="12" width="5.5703125" customWidth="1"/>
    <col min="13" max="13" width="4.5703125" customWidth="1"/>
    <col min="14" max="14" width="5.5703125" customWidth="1"/>
    <col min="15" max="15" width="4.5703125" customWidth="1"/>
    <col min="16" max="16" width="5.5703125" customWidth="1"/>
    <col min="17" max="17" width="4" customWidth="1"/>
    <col min="18" max="20" width="5.5703125" customWidth="1"/>
  </cols>
  <sheetData>
    <row r="1" spans="1:22" ht="18.75">
      <c r="A1" s="48" t="s">
        <v>79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</row>
    <row r="2" spans="1:22" ht="13.5" customHeight="1">
      <c r="A2" s="9" t="s">
        <v>1</v>
      </c>
      <c r="B2" s="10" t="s">
        <v>2</v>
      </c>
      <c r="C2" s="49" t="s">
        <v>3</v>
      </c>
      <c r="D2" s="50"/>
      <c r="E2" s="49" t="s">
        <v>4</v>
      </c>
      <c r="F2" s="50"/>
      <c r="G2" s="49" t="s">
        <v>5</v>
      </c>
      <c r="H2" s="50"/>
      <c r="I2" s="49" t="s">
        <v>6</v>
      </c>
      <c r="J2" s="50"/>
      <c r="K2" s="49" t="s">
        <v>7</v>
      </c>
      <c r="L2" s="50"/>
      <c r="M2" s="49" t="s">
        <v>8</v>
      </c>
      <c r="N2" s="50"/>
      <c r="O2" s="49" t="s">
        <v>9</v>
      </c>
      <c r="P2" s="50"/>
      <c r="Q2" s="49" t="s">
        <v>10</v>
      </c>
      <c r="R2" s="50"/>
      <c r="S2" s="49" t="s">
        <v>11</v>
      </c>
      <c r="T2" s="50"/>
      <c r="U2" t="s">
        <v>80</v>
      </c>
    </row>
    <row r="3" spans="1:22" ht="15" customHeight="1">
      <c r="A3" s="11"/>
      <c r="B3" s="12"/>
      <c r="C3" s="13" t="s">
        <v>12</v>
      </c>
      <c r="D3" s="13" t="s">
        <v>13</v>
      </c>
      <c r="E3" s="13" t="s">
        <v>12</v>
      </c>
      <c r="F3" s="13" t="s">
        <v>13</v>
      </c>
      <c r="G3" s="13" t="s">
        <v>12</v>
      </c>
      <c r="H3" s="13" t="s">
        <v>13</v>
      </c>
      <c r="I3" s="13" t="s">
        <v>12</v>
      </c>
      <c r="J3" s="13" t="s">
        <v>13</v>
      </c>
      <c r="K3" s="13" t="s">
        <v>12</v>
      </c>
      <c r="L3" s="13" t="s">
        <v>13</v>
      </c>
      <c r="M3" s="13" t="s">
        <v>12</v>
      </c>
      <c r="N3" s="13" t="s">
        <v>13</v>
      </c>
      <c r="O3" s="13" t="s">
        <v>12</v>
      </c>
      <c r="P3" s="13" t="s">
        <v>13</v>
      </c>
      <c r="Q3" s="13" t="s">
        <v>12</v>
      </c>
      <c r="R3" s="13" t="s">
        <v>13</v>
      </c>
      <c r="S3" s="13" t="s">
        <v>12</v>
      </c>
      <c r="T3" s="13" t="s">
        <v>13</v>
      </c>
    </row>
    <row r="4" spans="1:22" ht="15" customHeight="1">
      <c r="A4" s="15">
        <v>1</v>
      </c>
      <c r="B4" s="16" t="s">
        <v>81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</row>
    <row r="5" spans="1:22">
      <c r="A5" s="15">
        <v>2</v>
      </c>
      <c r="B5" s="16" t="s">
        <v>82</v>
      </c>
      <c r="C5" s="16">
        <v>6</v>
      </c>
      <c r="D5" s="16">
        <v>0</v>
      </c>
      <c r="E5" s="16">
        <v>0</v>
      </c>
      <c r="F5" s="16">
        <v>0</v>
      </c>
      <c r="G5" s="16">
        <v>0</v>
      </c>
      <c r="H5" s="16">
        <v>0</v>
      </c>
      <c r="I5" s="16">
        <v>1</v>
      </c>
      <c r="J5" s="16">
        <v>0</v>
      </c>
      <c r="K5" s="16">
        <v>0</v>
      </c>
      <c r="L5" s="16">
        <v>0</v>
      </c>
      <c r="M5" s="16">
        <v>11</v>
      </c>
      <c r="N5" s="16">
        <v>0</v>
      </c>
      <c r="O5" s="16">
        <v>13</v>
      </c>
      <c r="P5" s="16">
        <v>0</v>
      </c>
      <c r="Q5" s="16">
        <v>0</v>
      </c>
      <c r="R5" s="16">
        <v>0</v>
      </c>
      <c r="S5" s="16">
        <v>59</v>
      </c>
      <c r="T5" s="16">
        <v>0</v>
      </c>
      <c r="U5" s="24">
        <f>SUM(C5:S5)</f>
        <v>90</v>
      </c>
    </row>
    <row r="6" spans="1:22">
      <c r="A6" s="15">
        <v>3</v>
      </c>
      <c r="B6" s="16" t="s">
        <v>83</v>
      </c>
      <c r="C6" s="16">
        <v>1</v>
      </c>
      <c r="D6" s="16">
        <v>0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1</v>
      </c>
      <c r="N6" s="16">
        <v>0</v>
      </c>
      <c r="O6" s="16">
        <v>13</v>
      </c>
      <c r="P6" s="16">
        <v>0</v>
      </c>
      <c r="Q6" s="16">
        <v>0</v>
      </c>
      <c r="R6" s="16">
        <v>0</v>
      </c>
      <c r="S6" s="16">
        <v>61</v>
      </c>
      <c r="T6" s="16">
        <v>0</v>
      </c>
      <c r="U6" s="24">
        <f t="shared" ref="U6:U8" si="0">SUM(C6:S6)</f>
        <v>76</v>
      </c>
    </row>
    <row r="7" spans="1:22">
      <c r="A7" s="15">
        <v>4</v>
      </c>
      <c r="B7" s="16" t="s">
        <v>84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24">
        <f t="shared" si="0"/>
        <v>0</v>
      </c>
    </row>
    <row r="8" spans="1:22">
      <c r="A8" s="15">
        <v>5</v>
      </c>
      <c r="B8" s="16" t="s">
        <v>85</v>
      </c>
      <c r="C8" s="16">
        <v>4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1</v>
      </c>
      <c r="J8" s="16">
        <v>0</v>
      </c>
      <c r="K8" s="16">
        <v>0</v>
      </c>
      <c r="L8" s="16">
        <v>0</v>
      </c>
      <c r="M8" s="16">
        <v>6</v>
      </c>
      <c r="N8" s="16">
        <v>0</v>
      </c>
      <c r="O8" s="16">
        <v>12</v>
      </c>
      <c r="P8" s="16">
        <v>0</v>
      </c>
      <c r="Q8" s="16">
        <v>0</v>
      </c>
      <c r="R8" s="16">
        <v>0</v>
      </c>
      <c r="S8" s="16">
        <v>50</v>
      </c>
      <c r="T8" s="16">
        <v>0</v>
      </c>
      <c r="U8" s="24">
        <f t="shared" si="0"/>
        <v>73</v>
      </c>
    </row>
    <row r="9" spans="1:22">
      <c r="A9" s="15">
        <v>6</v>
      </c>
      <c r="B9" s="16" t="s">
        <v>86</v>
      </c>
      <c r="C9" s="16">
        <v>1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1</v>
      </c>
      <c r="N9" s="16">
        <v>0</v>
      </c>
      <c r="O9" s="16">
        <v>13</v>
      </c>
      <c r="P9" s="16">
        <v>0</v>
      </c>
      <c r="Q9" s="16">
        <v>0</v>
      </c>
      <c r="R9" s="16">
        <v>0</v>
      </c>
      <c r="S9" s="16">
        <v>63</v>
      </c>
      <c r="T9" s="16">
        <v>0</v>
      </c>
      <c r="U9" s="24">
        <f t="shared" ref="U9:U25" si="1">SUM(C9:S9)</f>
        <v>78</v>
      </c>
      <c r="V9" s="24"/>
    </row>
    <row r="10" spans="1:22">
      <c r="A10" s="15">
        <v>7</v>
      </c>
      <c r="B10" s="16" t="s">
        <v>87</v>
      </c>
      <c r="C10" s="16">
        <v>1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1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56</v>
      </c>
      <c r="T10" s="16">
        <v>0</v>
      </c>
      <c r="U10" s="24">
        <f t="shared" si="1"/>
        <v>58</v>
      </c>
    </row>
    <row r="11" spans="1:22">
      <c r="A11" s="15">
        <v>8</v>
      </c>
      <c r="B11" s="16" t="s">
        <v>88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24">
        <f t="shared" si="1"/>
        <v>0</v>
      </c>
    </row>
    <row r="12" spans="1:22">
      <c r="A12" s="15">
        <v>9</v>
      </c>
      <c r="B12" s="16" t="s">
        <v>89</v>
      </c>
      <c r="C12" s="16">
        <v>1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1</v>
      </c>
      <c r="P12" s="16">
        <v>0</v>
      </c>
      <c r="Q12" s="16">
        <v>0</v>
      </c>
      <c r="R12" s="16">
        <v>0</v>
      </c>
      <c r="S12" s="16">
        <v>53</v>
      </c>
      <c r="T12" s="16">
        <v>0</v>
      </c>
      <c r="U12" s="24">
        <f>SUM(C12:T12)</f>
        <v>55</v>
      </c>
    </row>
    <row r="13" spans="1:22">
      <c r="A13" s="15">
        <v>10</v>
      </c>
      <c r="B13" s="16" t="s">
        <v>90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7</v>
      </c>
      <c r="P13" s="16">
        <v>0</v>
      </c>
      <c r="Q13" s="16">
        <v>0</v>
      </c>
      <c r="R13" s="16">
        <v>0</v>
      </c>
      <c r="S13" s="16">
        <v>50</v>
      </c>
      <c r="T13" s="16">
        <v>0</v>
      </c>
      <c r="U13" s="24">
        <f>SUM(C13:T13)</f>
        <v>57</v>
      </c>
    </row>
    <row r="14" spans="1:22">
      <c r="A14" s="15">
        <v>11</v>
      </c>
      <c r="B14" s="16" t="s">
        <v>91</v>
      </c>
      <c r="C14" s="16">
        <v>1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1</v>
      </c>
      <c r="N14" s="16">
        <v>0</v>
      </c>
      <c r="O14" s="16">
        <v>1</v>
      </c>
      <c r="P14" s="16">
        <v>0</v>
      </c>
      <c r="Q14" s="16">
        <v>0</v>
      </c>
      <c r="R14" s="16">
        <v>0</v>
      </c>
      <c r="S14" s="16">
        <v>46</v>
      </c>
      <c r="T14" s="16">
        <v>0</v>
      </c>
      <c r="U14" s="24">
        <f>SUM(C14:T14)</f>
        <v>49</v>
      </c>
    </row>
    <row r="15" spans="1:22">
      <c r="A15" s="15">
        <v>12</v>
      </c>
      <c r="B15" s="16" t="s">
        <v>92</v>
      </c>
      <c r="C15" s="16">
        <v>1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1</v>
      </c>
      <c r="N15" s="16">
        <v>0</v>
      </c>
      <c r="O15" s="16">
        <v>1</v>
      </c>
      <c r="P15" s="16">
        <v>0</v>
      </c>
      <c r="Q15" s="16">
        <v>0</v>
      </c>
      <c r="R15" s="16">
        <v>0</v>
      </c>
      <c r="S15" s="16">
        <v>51</v>
      </c>
      <c r="T15" s="16">
        <v>0</v>
      </c>
      <c r="U15" s="24">
        <f>SUM(C15:T15)</f>
        <v>54</v>
      </c>
    </row>
    <row r="16" spans="1:22">
      <c r="A16" s="15">
        <v>13</v>
      </c>
      <c r="B16" s="16" t="s">
        <v>93</v>
      </c>
      <c r="C16" s="16">
        <v>1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1</v>
      </c>
      <c r="N16" s="16">
        <v>0</v>
      </c>
      <c r="O16" s="16">
        <v>1</v>
      </c>
      <c r="P16" s="16">
        <v>0</v>
      </c>
      <c r="Q16" s="16">
        <v>0</v>
      </c>
      <c r="R16" s="16">
        <v>0</v>
      </c>
      <c r="S16" s="16">
        <v>52</v>
      </c>
      <c r="T16" s="16">
        <v>0</v>
      </c>
      <c r="U16" s="24">
        <f t="shared" si="1"/>
        <v>55</v>
      </c>
    </row>
    <row r="17" spans="1:21">
      <c r="A17" s="15">
        <v>14</v>
      </c>
      <c r="B17" s="16" t="s">
        <v>94</v>
      </c>
      <c r="C17" s="16">
        <v>1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1</v>
      </c>
      <c r="N17" s="16">
        <v>0</v>
      </c>
      <c r="O17" s="16">
        <v>1</v>
      </c>
      <c r="P17" s="16">
        <v>0</v>
      </c>
      <c r="Q17" s="16">
        <v>0</v>
      </c>
      <c r="R17" s="16">
        <v>0</v>
      </c>
      <c r="S17" s="16">
        <v>54</v>
      </c>
      <c r="T17" s="16">
        <v>0</v>
      </c>
      <c r="U17" s="24">
        <f t="shared" si="1"/>
        <v>57</v>
      </c>
    </row>
    <row r="18" spans="1:21">
      <c r="A18" s="15">
        <v>15</v>
      </c>
      <c r="B18" s="16" t="s">
        <v>95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24">
        <f t="shared" si="1"/>
        <v>0</v>
      </c>
    </row>
    <row r="19" spans="1:21">
      <c r="A19" s="15">
        <v>16</v>
      </c>
      <c r="B19" s="16" t="s">
        <v>96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1</v>
      </c>
      <c r="N19" s="16">
        <v>0</v>
      </c>
      <c r="O19" s="16">
        <v>1</v>
      </c>
      <c r="P19" s="16">
        <v>0</v>
      </c>
      <c r="Q19" s="16">
        <v>0</v>
      </c>
      <c r="R19" s="16">
        <v>0</v>
      </c>
      <c r="S19" s="16">
        <v>49</v>
      </c>
      <c r="T19" s="16">
        <v>0</v>
      </c>
      <c r="U19" s="24">
        <f>SUM(C19:T19)</f>
        <v>51</v>
      </c>
    </row>
    <row r="20" spans="1:21">
      <c r="A20" s="15">
        <v>17</v>
      </c>
      <c r="B20" s="16" t="s">
        <v>97</v>
      </c>
      <c r="C20" s="16">
        <v>1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10</v>
      </c>
      <c r="P20" s="16">
        <v>0</v>
      </c>
      <c r="Q20" s="16">
        <v>0</v>
      </c>
      <c r="R20" s="16">
        <v>0</v>
      </c>
      <c r="S20" s="16">
        <v>54</v>
      </c>
      <c r="T20" s="16">
        <v>0</v>
      </c>
      <c r="U20" s="24">
        <f>SUM(C20:T20)</f>
        <v>65</v>
      </c>
    </row>
    <row r="21" spans="1:21">
      <c r="A21" s="15">
        <v>18</v>
      </c>
      <c r="B21" s="16" t="s">
        <v>98</v>
      </c>
      <c r="C21" s="16">
        <v>2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1</v>
      </c>
      <c r="N21" s="16">
        <v>0</v>
      </c>
      <c r="O21" s="16">
        <v>12</v>
      </c>
      <c r="P21" s="16">
        <v>0</v>
      </c>
      <c r="Q21" s="16">
        <v>0</v>
      </c>
      <c r="R21" s="16">
        <v>0</v>
      </c>
      <c r="S21" s="16">
        <v>57</v>
      </c>
      <c r="T21" s="16">
        <v>0</v>
      </c>
      <c r="U21" s="24">
        <f>SUM(C21:T21)</f>
        <v>72</v>
      </c>
    </row>
    <row r="22" spans="1:21">
      <c r="A22" s="15">
        <v>19</v>
      </c>
      <c r="B22" s="16" t="s">
        <v>99</v>
      </c>
      <c r="C22" s="16">
        <v>2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1</v>
      </c>
      <c r="N22" s="16">
        <v>0</v>
      </c>
      <c r="O22" s="16">
        <v>12</v>
      </c>
      <c r="P22" s="16">
        <v>0</v>
      </c>
      <c r="Q22" s="16">
        <v>0</v>
      </c>
      <c r="R22" s="16">
        <v>0</v>
      </c>
      <c r="S22" s="16">
        <v>60</v>
      </c>
      <c r="T22" s="16">
        <v>0</v>
      </c>
      <c r="U22" s="24">
        <f t="shared" si="1"/>
        <v>75</v>
      </c>
    </row>
    <row r="23" spans="1:21">
      <c r="A23" s="15">
        <v>20</v>
      </c>
      <c r="B23" s="16" t="s">
        <v>100</v>
      </c>
      <c r="C23" s="16">
        <v>4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4</v>
      </c>
      <c r="J23" s="16">
        <v>0</v>
      </c>
      <c r="K23" s="16">
        <v>0</v>
      </c>
      <c r="L23" s="16">
        <v>0</v>
      </c>
      <c r="M23" s="16">
        <v>4</v>
      </c>
      <c r="N23" s="16">
        <v>0</v>
      </c>
      <c r="O23" s="16">
        <v>16</v>
      </c>
      <c r="P23" s="16">
        <v>0</v>
      </c>
      <c r="Q23" s="16">
        <v>2</v>
      </c>
      <c r="R23" s="16">
        <v>0</v>
      </c>
      <c r="S23" s="16">
        <v>47</v>
      </c>
      <c r="T23" s="16">
        <v>0</v>
      </c>
      <c r="U23" s="24">
        <f>SUM(C23:T23)</f>
        <v>77</v>
      </c>
    </row>
    <row r="24" spans="1:21">
      <c r="A24" s="15">
        <v>21</v>
      </c>
      <c r="B24" s="16" t="s">
        <v>101</v>
      </c>
      <c r="C24" s="16">
        <v>4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2</v>
      </c>
      <c r="J24" s="16">
        <v>0</v>
      </c>
      <c r="K24" s="16">
        <v>0</v>
      </c>
      <c r="L24" s="16">
        <v>0</v>
      </c>
      <c r="M24" s="16">
        <v>1</v>
      </c>
      <c r="N24" s="16">
        <v>0</v>
      </c>
      <c r="O24" s="16">
        <v>17</v>
      </c>
      <c r="P24" s="16">
        <v>0</v>
      </c>
      <c r="Q24" s="16">
        <v>2</v>
      </c>
      <c r="R24" s="16">
        <v>0</v>
      </c>
      <c r="S24" s="16">
        <v>55</v>
      </c>
      <c r="T24" s="16">
        <v>0</v>
      </c>
      <c r="U24" s="24">
        <f>SUM(C24:T24)</f>
        <v>81</v>
      </c>
    </row>
    <row r="25" spans="1:21" ht="13.5" customHeight="1">
      <c r="A25" s="15">
        <v>22</v>
      </c>
      <c r="B25" s="16" t="s">
        <v>102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24">
        <f t="shared" si="1"/>
        <v>0</v>
      </c>
    </row>
    <row r="26" spans="1:21" ht="14.25" customHeight="1">
      <c r="A26" s="15">
        <v>23</v>
      </c>
      <c r="B26" s="16" t="s">
        <v>103</v>
      </c>
      <c r="C26" s="16">
        <v>4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4</v>
      </c>
      <c r="J26" s="16">
        <v>0</v>
      </c>
      <c r="K26" s="16">
        <v>0</v>
      </c>
      <c r="L26" s="16">
        <v>0</v>
      </c>
      <c r="M26" s="16">
        <v>7</v>
      </c>
      <c r="N26" s="16">
        <v>0</v>
      </c>
      <c r="O26" s="16">
        <v>15</v>
      </c>
      <c r="P26" s="16">
        <v>0</v>
      </c>
      <c r="Q26" s="16">
        <v>3</v>
      </c>
      <c r="R26" s="16">
        <v>0</v>
      </c>
      <c r="S26" s="16">
        <v>60</v>
      </c>
      <c r="T26" s="16">
        <v>0</v>
      </c>
      <c r="U26" s="24">
        <f t="shared" ref="U26:U34" si="2">SUM(C26:T26)</f>
        <v>93</v>
      </c>
    </row>
    <row r="27" spans="1:21">
      <c r="A27" s="15">
        <v>24</v>
      </c>
      <c r="B27" s="16" t="s">
        <v>104</v>
      </c>
      <c r="C27" s="16">
        <v>3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1</v>
      </c>
      <c r="J27" s="16">
        <v>0</v>
      </c>
      <c r="K27" s="16">
        <v>0</v>
      </c>
      <c r="L27" s="16">
        <v>0</v>
      </c>
      <c r="M27" s="16">
        <v>11</v>
      </c>
      <c r="N27" s="16">
        <v>0</v>
      </c>
      <c r="O27" s="16">
        <v>15</v>
      </c>
      <c r="P27" s="16">
        <v>0</v>
      </c>
      <c r="Q27" s="16">
        <v>0</v>
      </c>
      <c r="R27" s="16">
        <v>0</v>
      </c>
      <c r="S27" s="16">
        <v>59</v>
      </c>
      <c r="T27" s="16">
        <v>0</v>
      </c>
      <c r="U27" s="24">
        <f t="shared" si="2"/>
        <v>89</v>
      </c>
    </row>
    <row r="28" spans="1:21">
      <c r="A28" s="15">
        <v>25</v>
      </c>
      <c r="B28" s="16" t="s">
        <v>105</v>
      </c>
      <c r="C28" s="16">
        <v>3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4</v>
      </c>
      <c r="J28" s="16">
        <v>0</v>
      </c>
      <c r="K28" s="16">
        <v>0</v>
      </c>
      <c r="L28" s="16">
        <v>0</v>
      </c>
      <c r="M28" s="16">
        <v>12</v>
      </c>
      <c r="N28" s="16">
        <v>0</v>
      </c>
      <c r="O28" s="16">
        <v>11</v>
      </c>
      <c r="P28" s="16">
        <v>0</v>
      </c>
      <c r="Q28" s="16">
        <v>0</v>
      </c>
      <c r="R28" s="16">
        <v>0</v>
      </c>
      <c r="S28" s="16">
        <v>54</v>
      </c>
      <c r="T28" s="16">
        <v>0</v>
      </c>
      <c r="U28" s="24">
        <f t="shared" si="2"/>
        <v>84</v>
      </c>
    </row>
    <row r="29" spans="1:21">
      <c r="A29" s="15">
        <v>26</v>
      </c>
      <c r="B29" s="16" t="s">
        <v>106</v>
      </c>
      <c r="C29" s="16">
        <v>2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1</v>
      </c>
      <c r="J29" s="16">
        <v>0</v>
      </c>
      <c r="K29" s="16">
        <v>0</v>
      </c>
      <c r="L29" s="16">
        <v>0</v>
      </c>
      <c r="M29" s="16">
        <v>7</v>
      </c>
      <c r="N29" s="16">
        <v>0</v>
      </c>
      <c r="O29" s="16">
        <v>15</v>
      </c>
      <c r="P29" s="16">
        <v>0</v>
      </c>
      <c r="Q29" s="16">
        <v>0</v>
      </c>
      <c r="R29" s="16">
        <v>0</v>
      </c>
      <c r="S29" s="16">
        <v>55</v>
      </c>
      <c r="T29" s="16">
        <v>0</v>
      </c>
      <c r="U29" s="24">
        <f t="shared" si="2"/>
        <v>80</v>
      </c>
    </row>
    <row r="30" spans="1:21">
      <c r="A30" s="15">
        <v>27</v>
      </c>
      <c r="B30" s="16" t="s">
        <v>107</v>
      </c>
      <c r="C30" s="16">
        <v>2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1</v>
      </c>
      <c r="J30" s="16">
        <v>0</v>
      </c>
      <c r="K30" s="16">
        <v>0</v>
      </c>
      <c r="L30" s="16">
        <v>0</v>
      </c>
      <c r="M30" s="16">
        <v>7</v>
      </c>
      <c r="N30" s="16">
        <v>0</v>
      </c>
      <c r="O30" s="16">
        <v>16</v>
      </c>
      <c r="P30" s="16">
        <v>0</v>
      </c>
      <c r="Q30" s="16">
        <v>0</v>
      </c>
      <c r="R30" s="16">
        <v>0</v>
      </c>
      <c r="S30" s="16">
        <v>50</v>
      </c>
      <c r="T30" s="16">
        <v>0</v>
      </c>
      <c r="U30" s="24">
        <f t="shared" si="2"/>
        <v>76</v>
      </c>
    </row>
    <row r="31" spans="1:21">
      <c r="A31" s="15">
        <v>28</v>
      </c>
      <c r="B31" s="16" t="s">
        <v>108</v>
      </c>
      <c r="C31" s="16">
        <v>4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1</v>
      </c>
      <c r="J31" s="16">
        <v>0</v>
      </c>
      <c r="K31" s="16">
        <v>0</v>
      </c>
      <c r="L31" s="16">
        <v>0</v>
      </c>
      <c r="M31" s="16">
        <v>8</v>
      </c>
      <c r="N31" s="16">
        <v>0</v>
      </c>
      <c r="O31" s="16">
        <v>16</v>
      </c>
      <c r="P31" s="16">
        <v>0</v>
      </c>
      <c r="Q31" s="16">
        <v>0</v>
      </c>
      <c r="R31" s="16">
        <v>0</v>
      </c>
      <c r="S31" s="16">
        <v>56</v>
      </c>
      <c r="T31" s="16">
        <v>0</v>
      </c>
      <c r="U31" s="24">
        <f t="shared" si="2"/>
        <v>85</v>
      </c>
    </row>
    <row r="32" spans="1:21">
      <c r="A32" s="15">
        <v>29</v>
      </c>
      <c r="B32" s="16" t="s">
        <v>109</v>
      </c>
      <c r="C32" s="16">
        <v>3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1</v>
      </c>
      <c r="J32" s="16">
        <v>0</v>
      </c>
      <c r="K32" s="16">
        <v>0</v>
      </c>
      <c r="L32" s="16">
        <v>0</v>
      </c>
      <c r="M32" s="16">
        <v>3</v>
      </c>
      <c r="N32" s="16">
        <v>0</v>
      </c>
      <c r="O32" s="16">
        <v>10</v>
      </c>
      <c r="P32" s="16">
        <v>0</v>
      </c>
      <c r="Q32" s="16">
        <v>1</v>
      </c>
      <c r="R32" s="16">
        <v>0</v>
      </c>
      <c r="S32" s="16">
        <v>35</v>
      </c>
      <c r="T32" s="16">
        <v>0</v>
      </c>
      <c r="U32" s="24">
        <f t="shared" si="2"/>
        <v>53</v>
      </c>
    </row>
    <row r="33" spans="1:21">
      <c r="A33" s="15">
        <v>30</v>
      </c>
      <c r="B33" s="16" t="s">
        <v>110</v>
      </c>
      <c r="C33" s="16">
        <v>4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1</v>
      </c>
      <c r="J33" s="16">
        <v>0</v>
      </c>
      <c r="K33" s="16">
        <v>0</v>
      </c>
      <c r="L33" s="16">
        <v>0</v>
      </c>
      <c r="M33" s="16">
        <v>9</v>
      </c>
      <c r="N33" s="16">
        <v>0</v>
      </c>
      <c r="O33" s="16">
        <v>17</v>
      </c>
      <c r="P33" s="16">
        <v>9</v>
      </c>
      <c r="Q33" s="16">
        <v>3</v>
      </c>
      <c r="R33" s="16">
        <v>0</v>
      </c>
      <c r="S33" s="16">
        <v>52</v>
      </c>
      <c r="T33" s="16">
        <v>11</v>
      </c>
      <c r="U33" s="24">
        <f t="shared" si="2"/>
        <v>106</v>
      </c>
    </row>
    <row r="34" spans="1:21">
      <c r="A34" s="15">
        <v>31</v>
      </c>
      <c r="B34" s="16" t="s">
        <v>111</v>
      </c>
      <c r="C34" s="16">
        <v>4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1</v>
      </c>
      <c r="J34" s="16">
        <v>0</v>
      </c>
      <c r="K34" s="16">
        <v>0</v>
      </c>
      <c r="L34" s="16">
        <v>0</v>
      </c>
      <c r="M34" s="16">
        <v>8</v>
      </c>
      <c r="N34" s="16">
        <v>0</v>
      </c>
      <c r="O34" s="16">
        <v>18</v>
      </c>
      <c r="P34" s="16">
        <v>11</v>
      </c>
      <c r="Q34" s="16">
        <v>1</v>
      </c>
      <c r="R34" s="16">
        <v>0</v>
      </c>
      <c r="S34" s="16">
        <v>56</v>
      </c>
      <c r="T34" s="16">
        <v>15</v>
      </c>
      <c r="U34" s="24">
        <f t="shared" si="2"/>
        <v>114</v>
      </c>
    </row>
    <row r="35" spans="1:21">
      <c r="A35" s="11"/>
      <c r="B35" s="12"/>
      <c r="C35" s="13">
        <f>SUM(C4:C34)</f>
        <v>60</v>
      </c>
      <c r="D35" s="13">
        <f t="shared" ref="D35:K35" si="3">SUM(D4:D34)</f>
        <v>0</v>
      </c>
      <c r="E35" s="13">
        <f t="shared" si="3"/>
        <v>0</v>
      </c>
      <c r="F35" s="13">
        <f t="shared" si="3"/>
        <v>0</v>
      </c>
      <c r="G35" s="13">
        <f t="shared" si="3"/>
        <v>0</v>
      </c>
      <c r="H35" s="13">
        <f t="shared" si="3"/>
        <v>0</v>
      </c>
      <c r="I35" s="13">
        <f t="shared" si="3"/>
        <v>23</v>
      </c>
      <c r="J35" s="13">
        <f t="shared" si="3"/>
        <v>0</v>
      </c>
      <c r="K35" s="13">
        <f t="shared" si="3"/>
        <v>0</v>
      </c>
      <c r="L35" s="13">
        <f t="shared" ref="L35:M35" si="4">SUM(L4:L34)</f>
        <v>0</v>
      </c>
      <c r="M35" s="13">
        <f t="shared" si="4"/>
        <v>104</v>
      </c>
      <c r="N35" s="13">
        <f t="shared" ref="N35:U35" si="5">SUM(N4:N34)</f>
        <v>0</v>
      </c>
      <c r="O35" s="13">
        <f t="shared" si="5"/>
        <v>264</v>
      </c>
      <c r="P35" s="13">
        <f t="shared" si="5"/>
        <v>20</v>
      </c>
      <c r="Q35" s="13">
        <f t="shared" si="5"/>
        <v>12</v>
      </c>
      <c r="R35" s="13">
        <f t="shared" si="5"/>
        <v>0</v>
      </c>
      <c r="S35" s="13">
        <f t="shared" si="5"/>
        <v>1394</v>
      </c>
      <c r="T35" s="13">
        <f t="shared" si="5"/>
        <v>26</v>
      </c>
      <c r="U35" s="24">
        <f t="shared" si="5"/>
        <v>1903</v>
      </c>
    </row>
  </sheetData>
  <mergeCells count="10">
    <mergeCell ref="A1:T1"/>
    <mergeCell ref="C2:D2"/>
    <mergeCell ref="E2:F2"/>
    <mergeCell ref="G2:H2"/>
    <mergeCell ref="I2:J2"/>
    <mergeCell ref="K2:L2"/>
    <mergeCell ref="M2:N2"/>
    <mergeCell ref="O2:P2"/>
    <mergeCell ref="Q2:R2"/>
    <mergeCell ref="S2:T2"/>
  </mergeCells>
  <hyperlinks>
    <hyperlink ref="A2" r:id="rId1" xr:uid="{00000000-0004-0000-0600-000000000000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43"/>
  <sheetViews>
    <sheetView workbookViewId="0">
      <selection activeCell="W12" sqref="W12"/>
    </sheetView>
  </sheetViews>
  <sheetFormatPr defaultColWidth="9.140625" defaultRowHeight="15"/>
  <cols>
    <col min="1" max="1" width="4.5703125" customWidth="1"/>
    <col min="2" max="2" width="7.85546875" customWidth="1"/>
    <col min="3" max="3" width="4" customWidth="1"/>
    <col min="4" max="4" width="5.5703125" customWidth="1"/>
    <col min="5" max="5" width="4" customWidth="1"/>
    <col min="6" max="6" width="5.5703125" customWidth="1"/>
    <col min="7" max="7" width="4" customWidth="1"/>
    <col min="8" max="8" width="5.5703125" customWidth="1"/>
    <col min="9" max="9" width="4" customWidth="1"/>
    <col min="10" max="10" width="5.5703125" customWidth="1"/>
    <col min="11" max="11" width="4" customWidth="1"/>
    <col min="12" max="12" width="5.5703125" customWidth="1"/>
    <col min="13" max="13" width="4" customWidth="1"/>
    <col min="14" max="14" width="5.5703125" customWidth="1"/>
    <col min="15" max="15" width="4" customWidth="1"/>
    <col min="16" max="16" width="5.5703125" customWidth="1"/>
    <col min="17" max="17" width="4" customWidth="1"/>
    <col min="18" max="18" width="5.5703125" customWidth="1"/>
    <col min="19" max="19" width="4" customWidth="1"/>
    <col min="20" max="20" width="5.5703125" customWidth="1"/>
  </cols>
  <sheetData>
    <row r="1" spans="1:21" ht="18.75">
      <c r="A1" s="48" t="s">
        <v>112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</row>
    <row r="2" spans="1:21">
      <c r="A2" s="9" t="s">
        <v>1</v>
      </c>
      <c r="B2" s="10" t="s">
        <v>2</v>
      </c>
      <c r="C2" s="49" t="s">
        <v>3</v>
      </c>
      <c r="D2" s="50"/>
      <c r="E2" s="49" t="s">
        <v>4</v>
      </c>
      <c r="F2" s="50"/>
      <c r="G2" s="49" t="s">
        <v>5</v>
      </c>
      <c r="H2" s="50"/>
      <c r="I2" s="49" t="s">
        <v>6</v>
      </c>
      <c r="J2" s="50"/>
      <c r="K2" s="49" t="s">
        <v>7</v>
      </c>
      <c r="L2" s="50"/>
      <c r="M2" s="49" t="s">
        <v>8</v>
      </c>
      <c r="N2" s="50"/>
      <c r="O2" s="49" t="s">
        <v>9</v>
      </c>
      <c r="P2" s="50"/>
      <c r="Q2" s="49" t="s">
        <v>10</v>
      </c>
      <c r="R2" s="50"/>
      <c r="S2" s="49" t="s">
        <v>11</v>
      </c>
      <c r="T2" s="50"/>
    </row>
    <row r="3" spans="1:21">
      <c r="A3" s="11"/>
      <c r="B3" s="12"/>
      <c r="C3" s="13" t="s">
        <v>12</v>
      </c>
      <c r="D3" s="13" t="s">
        <v>13</v>
      </c>
      <c r="E3" s="13" t="s">
        <v>12</v>
      </c>
      <c r="F3" s="13" t="s">
        <v>13</v>
      </c>
      <c r="G3" s="13" t="s">
        <v>12</v>
      </c>
      <c r="H3" s="13" t="s">
        <v>13</v>
      </c>
      <c r="I3" s="13" t="s">
        <v>12</v>
      </c>
      <c r="J3" s="13" t="s">
        <v>13</v>
      </c>
      <c r="K3" s="13" t="s">
        <v>12</v>
      </c>
      <c r="L3" s="13" t="s">
        <v>13</v>
      </c>
      <c r="M3" s="13" t="s">
        <v>12</v>
      </c>
      <c r="N3" s="13" t="s">
        <v>13</v>
      </c>
      <c r="O3" s="13" t="s">
        <v>12</v>
      </c>
      <c r="P3" s="13" t="s">
        <v>13</v>
      </c>
      <c r="Q3" s="13" t="s">
        <v>12</v>
      </c>
      <c r="R3" s="13" t="s">
        <v>13</v>
      </c>
      <c r="S3" s="13" t="s">
        <v>12</v>
      </c>
      <c r="T3" s="13" t="s">
        <v>13</v>
      </c>
    </row>
    <row r="4" spans="1:21">
      <c r="A4" s="15">
        <v>1</v>
      </c>
      <c r="B4" s="16" t="s">
        <v>81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</row>
    <row r="5" spans="1:21">
      <c r="A5" s="15">
        <v>2</v>
      </c>
      <c r="B5" s="16" t="s">
        <v>82</v>
      </c>
      <c r="C5" s="16">
        <v>0</v>
      </c>
      <c r="D5" s="16">
        <v>0</v>
      </c>
      <c r="E5" s="16">
        <v>0</v>
      </c>
      <c r="F5" s="16">
        <v>0</v>
      </c>
      <c r="G5" s="16">
        <v>0</v>
      </c>
      <c r="H5" s="16">
        <v>0</v>
      </c>
      <c r="I5" s="16">
        <v>5</v>
      </c>
      <c r="J5" s="16">
        <v>0</v>
      </c>
      <c r="K5" s="16">
        <v>0</v>
      </c>
      <c r="L5" s="16">
        <v>0</v>
      </c>
      <c r="M5" s="16">
        <v>3</v>
      </c>
      <c r="N5" s="16">
        <v>0</v>
      </c>
      <c r="O5" s="16">
        <v>0</v>
      </c>
      <c r="P5" s="16">
        <v>0</v>
      </c>
      <c r="Q5" s="16">
        <v>2</v>
      </c>
      <c r="R5" s="16">
        <v>0</v>
      </c>
      <c r="S5" s="16">
        <v>5</v>
      </c>
      <c r="T5" s="16">
        <v>0</v>
      </c>
      <c r="U5" s="25">
        <f>SUM(C5:T5)</f>
        <v>15</v>
      </c>
    </row>
    <row r="6" spans="1:21">
      <c r="A6" s="15">
        <v>3</v>
      </c>
      <c r="B6" s="16" t="s">
        <v>83</v>
      </c>
      <c r="C6" s="16">
        <v>0</v>
      </c>
      <c r="D6" s="16">
        <v>0</v>
      </c>
      <c r="E6" s="16">
        <v>0</v>
      </c>
      <c r="F6" s="16">
        <v>0</v>
      </c>
      <c r="G6" s="16">
        <v>0</v>
      </c>
      <c r="H6" s="16">
        <v>0</v>
      </c>
      <c r="I6" s="16">
        <v>2</v>
      </c>
      <c r="J6" s="16">
        <v>0</v>
      </c>
      <c r="K6" s="16">
        <v>0</v>
      </c>
      <c r="L6" s="16">
        <v>0</v>
      </c>
      <c r="M6" s="16">
        <v>2</v>
      </c>
      <c r="N6" s="16">
        <v>0</v>
      </c>
      <c r="O6" s="16">
        <v>0</v>
      </c>
      <c r="P6" s="16">
        <v>0</v>
      </c>
      <c r="Q6" s="16">
        <v>2</v>
      </c>
      <c r="R6" s="16">
        <v>0</v>
      </c>
      <c r="S6" s="16">
        <v>5</v>
      </c>
      <c r="T6" s="16">
        <v>0</v>
      </c>
      <c r="U6" s="25">
        <f t="shared" ref="U6:U34" si="0">SUM(C6:T6)</f>
        <v>11</v>
      </c>
    </row>
    <row r="7" spans="1:21">
      <c r="A7" s="15">
        <v>4</v>
      </c>
      <c r="B7" s="16" t="s">
        <v>84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25"/>
    </row>
    <row r="8" spans="1:21">
      <c r="A8" s="15">
        <v>5</v>
      </c>
      <c r="B8" s="16" t="s">
        <v>85</v>
      </c>
      <c r="C8" s="16">
        <v>0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3</v>
      </c>
      <c r="J8" s="16">
        <v>0</v>
      </c>
      <c r="K8" s="16">
        <v>0</v>
      </c>
      <c r="L8" s="16">
        <v>0</v>
      </c>
      <c r="M8" s="16">
        <v>3</v>
      </c>
      <c r="N8" s="16">
        <v>0</v>
      </c>
      <c r="O8" s="16">
        <v>0</v>
      </c>
      <c r="P8" s="16">
        <v>0</v>
      </c>
      <c r="Q8" s="16">
        <v>1</v>
      </c>
      <c r="R8" s="16">
        <v>0</v>
      </c>
      <c r="S8" s="16">
        <v>5</v>
      </c>
      <c r="T8" s="16">
        <v>0</v>
      </c>
      <c r="U8" s="25">
        <f t="shared" si="0"/>
        <v>12</v>
      </c>
    </row>
    <row r="9" spans="1:21">
      <c r="A9" s="15">
        <v>6</v>
      </c>
      <c r="B9" s="16" t="s">
        <v>86</v>
      </c>
      <c r="C9" s="16">
        <v>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5</v>
      </c>
      <c r="T9" s="16">
        <v>0</v>
      </c>
      <c r="U9" s="25">
        <f t="shared" si="0"/>
        <v>5</v>
      </c>
    </row>
    <row r="10" spans="1:21">
      <c r="A10" s="15">
        <v>7</v>
      </c>
      <c r="B10" s="16" t="s">
        <v>87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25"/>
    </row>
    <row r="11" spans="1:21">
      <c r="A11" s="15">
        <v>8</v>
      </c>
      <c r="B11" s="16" t="s">
        <v>88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7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5</v>
      </c>
      <c r="P11" s="16">
        <v>6</v>
      </c>
      <c r="Q11" s="16">
        <v>0</v>
      </c>
      <c r="R11" s="16">
        <v>0</v>
      </c>
      <c r="S11" s="16">
        <v>4</v>
      </c>
      <c r="T11" s="16">
        <v>0</v>
      </c>
      <c r="U11" s="25">
        <f t="shared" si="0"/>
        <v>22</v>
      </c>
    </row>
    <row r="12" spans="1:21">
      <c r="A12" s="15">
        <v>9</v>
      </c>
      <c r="B12" s="16" t="s">
        <v>89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2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5</v>
      </c>
      <c r="P12" s="16">
        <v>2</v>
      </c>
      <c r="Q12" s="16">
        <v>0</v>
      </c>
      <c r="R12" s="16">
        <v>0</v>
      </c>
      <c r="S12" s="16">
        <v>4</v>
      </c>
      <c r="T12" s="16">
        <v>0</v>
      </c>
      <c r="U12" s="25">
        <f t="shared" si="0"/>
        <v>13</v>
      </c>
    </row>
    <row r="13" spans="1:21">
      <c r="A13" s="15">
        <v>10</v>
      </c>
      <c r="B13" s="16" t="s">
        <v>90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4</v>
      </c>
      <c r="P13" s="16">
        <v>0</v>
      </c>
      <c r="Q13" s="16">
        <v>0</v>
      </c>
      <c r="R13" s="16">
        <v>0</v>
      </c>
      <c r="S13" s="16">
        <v>4</v>
      </c>
      <c r="T13" s="16">
        <v>0</v>
      </c>
      <c r="U13" s="25">
        <f t="shared" si="0"/>
        <v>8</v>
      </c>
    </row>
    <row r="14" spans="1:21">
      <c r="A14" s="15">
        <v>11</v>
      </c>
      <c r="B14" s="16" t="s">
        <v>91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2</v>
      </c>
      <c r="P14" s="16">
        <v>0</v>
      </c>
      <c r="Q14" s="16">
        <v>0</v>
      </c>
      <c r="R14" s="16">
        <v>0</v>
      </c>
      <c r="S14" s="16">
        <v>4</v>
      </c>
      <c r="T14" s="16">
        <v>0</v>
      </c>
      <c r="U14" s="25">
        <f t="shared" si="0"/>
        <v>6</v>
      </c>
    </row>
    <row r="15" spans="1:21">
      <c r="A15" s="15">
        <v>12</v>
      </c>
      <c r="B15" s="16" t="s">
        <v>92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2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4</v>
      </c>
      <c r="P15" s="16">
        <v>0</v>
      </c>
      <c r="Q15" s="16">
        <v>0</v>
      </c>
      <c r="R15" s="16">
        <v>0</v>
      </c>
      <c r="S15" s="16">
        <v>6</v>
      </c>
      <c r="T15" s="16">
        <v>0</v>
      </c>
      <c r="U15" s="25">
        <f t="shared" si="0"/>
        <v>12</v>
      </c>
    </row>
    <row r="16" spans="1:21">
      <c r="A16" s="15">
        <v>13</v>
      </c>
      <c r="B16" s="16" t="s">
        <v>93</v>
      </c>
      <c r="C16" s="16">
        <v>0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6</v>
      </c>
      <c r="P16" s="16">
        <v>5</v>
      </c>
      <c r="Q16" s="16">
        <v>0</v>
      </c>
      <c r="R16" s="16">
        <v>0</v>
      </c>
      <c r="S16" s="16">
        <v>3</v>
      </c>
      <c r="T16" s="16">
        <v>4</v>
      </c>
      <c r="U16" s="25">
        <f t="shared" si="0"/>
        <v>18</v>
      </c>
    </row>
    <row r="17" spans="1:21">
      <c r="A17" s="15">
        <v>14</v>
      </c>
      <c r="B17" s="16" t="s">
        <v>94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2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6</v>
      </c>
      <c r="P17" s="16">
        <v>0</v>
      </c>
      <c r="Q17" s="16">
        <v>0</v>
      </c>
      <c r="R17" s="16">
        <v>0</v>
      </c>
      <c r="S17" s="16">
        <v>3</v>
      </c>
      <c r="T17" s="16">
        <v>3</v>
      </c>
      <c r="U17" s="25">
        <f t="shared" si="0"/>
        <v>14</v>
      </c>
    </row>
    <row r="18" spans="1:21">
      <c r="A18" s="15">
        <v>15</v>
      </c>
      <c r="B18" s="16" t="s">
        <v>95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25"/>
    </row>
    <row r="19" spans="1:21">
      <c r="A19" s="15">
        <v>16</v>
      </c>
      <c r="B19" s="16" t="s">
        <v>96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3</v>
      </c>
      <c r="P19" s="16">
        <v>0</v>
      </c>
      <c r="Q19" s="16">
        <v>0</v>
      </c>
      <c r="R19" s="16">
        <v>0</v>
      </c>
      <c r="S19" s="16">
        <v>8</v>
      </c>
      <c r="T19" s="16">
        <v>0</v>
      </c>
      <c r="U19" s="25">
        <f t="shared" si="0"/>
        <v>11</v>
      </c>
    </row>
    <row r="20" spans="1:21">
      <c r="A20" s="15">
        <v>17</v>
      </c>
      <c r="B20" s="16" t="s">
        <v>97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1</v>
      </c>
      <c r="P20" s="16">
        <v>0</v>
      </c>
      <c r="Q20" s="16">
        <v>0</v>
      </c>
      <c r="R20" s="16">
        <v>0</v>
      </c>
      <c r="S20" s="16">
        <v>9</v>
      </c>
      <c r="T20" s="16">
        <v>0</v>
      </c>
      <c r="U20" s="25">
        <f t="shared" si="0"/>
        <v>10</v>
      </c>
    </row>
    <row r="21" spans="1:21">
      <c r="A21" s="15">
        <v>18</v>
      </c>
      <c r="B21" s="16" t="s">
        <v>98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2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2</v>
      </c>
      <c r="P21" s="16">
        <v>0</v>
      </c>
      <c r="Q21" s="16">
        <v>0</v>
      </c>
      <c r="R21" s="16">
        <v>0</v>
      </c>
      <c r="S21" s="16">
        <v>9</v>
      </c>
      <c r="T21" s="16">
        <v>0</v>
      </c>
      <c r="U21" s="25">
        <f t="shared" si="0"/>
        <v>13</v>
      </c>
    </row>
    <row r="22" spans="1:21">
      <c r="A22" s="15">
        <v>19</v>
      </c>
      <c r="B22" s="16" t="s">
        <v>99</v>
      </c>
      <c r="C22" s="16">
        <v>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4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7</v>
      </c>
      <c r="T22" s="16">
        <v>0</v>
      </c>
      <c r="U22" s="25">
        <f t="shared" si="0"/>
        <v>11</v>
      </c>
    </row>
    <row r="23" spans="1:21">
      <c r="A23" s="15">
        <v>20</v>
      </c>
      <c r="B23" s="16" t="s">
        <v>100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5</v>
      </c>
      <c r="J23" s="16">
        <v>2</v>
      </c>
      <c r="K23" s="16">
        <v>0</v>
      </c>
      <c r="L23" s="16">
        <v>0</v>
      </c>
      <c r="M23" s="16">
        <v>2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7</v>
      </c>
      <c r="T23" s="16">
        <v>0</v>
      </c>
      <c r="U23" s="25">
        <f t="shared" si="0"/>
        <v>16</v>
      </c>
    </row>
    <row r="24" spans="1:21">
      <c r="A24" s="15">
        <v>21</v>
      </c>
      <c r="B24" s="16" t="s">
        <v>101</v>
      </c>
      <c r="C24" s="16">
        <v>0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7</v>
      </c>
      <c r="T24" s="16">
        <v>0</v>
      </c>
      <c r="U24" s="25">
        <f t="shared" si="0"/>
        <v>7</v>
      </c>
    </row>
    <row r="25" spans="1:21">
      <c r="A25" s="15">
        <v>22</v>
      </c>
      <c r="B25" s="16" t="s">
        <v>102</v>
      </c>
      <c r="C25" s="16">
        <v>0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6</v>
      </c>
      <c r="T25" s="16">
        <v>0</v>
      </c>
      <c r="U25" s="25">
        <f t="shared" si="0"/>
        <v>6</v>
      </c>
    </row>
    <row r="26" spans="1:21">
      <c r="A26" s="15">
        <v>23</v>
      </c>
      <c r="B26" s="16" t="s">
        <v>103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7</v>
      </c>
      <c r="T26" s="16">
        <v>0</v>
      </c>
      <c r="U26" s="25">
        <f t="shared" si="0"/>
        <v>7</v>
      </c>
    </row>
    <row r="27" spans="1:21">
      <c r="A27" s="15">
        <v>24</v>
      </c>
      <c r="B27" s="16" t="s">
        <v>104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5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7</v>
      </c>
      <c r="T27" s="16">
        <v>0</v>
      </c>
      <c r="U27" s="25">
        <f t="shared" si="0"/>
        <v>12</v>
      </c>
    </row>
    <row r="28" spans="1:21">
      <c r="A28" s="15">
        <v>25</v>
      </c>
      <c r="B28" s="16" t="s">
        <v>105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6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6</v>
      </c>
      <c r="T28" s="16">
        <v>0</v>
      </c>
      <c r="U28" s="25">
        <f t="shared" si="0"/>
        <v>12</v>
      </c>
    </row>
    <row r="29" spans="1:21">
      <c r="A29" s="15">
        <v>26</v>
      </c>
      <c r="B29" s="16" t="s">
        <v>106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4</v>
      </c>
      <c r="J29" s="16">
        <v>12</v>
      </c>
      <c r="K29" s="16">
        <v>0</v>
      </c>
      <c r="L29" s="16">
        <v>0</v>
      </c>
      <c r="M29" s="16">
        <v>5</v>
      </c>
      <c r="N29" s="16">
        <v>7</v>
      </c>
      <c r="O29" s="16">
        <v>4</v>
      </c>
      <c r="P29" s="16">
        <v>0</v>
      </c>
      <c r="Q29" s="16">
        <v>0</v>
      </c>
      <c r="R29" s="16">
        <v>0</v>
      </c>
      <c r="S29" s="16">
        <v>4</v>
      </c>
      <c r="T29" s="16">
        <v>3</v>
      </c>
      <c r="U29" s="25">
        <f t="shared" si="0"/>
        <v>39</v>
      </c>
    </row>
    <row r="30" spans="1:21">
      <c r="A30" s="15">
        <v>27</v>
      </c>
      <c r="B30" s="16" t="s">
        <v>107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6</v>
      </c>
      <c r="J30" s="16">
        <v>7</v>
      </c>
      <c r="K30" s="16">
        <v>0</v>
      </c>
      <c r="L30" s="16">
        <v>0</v>
      </c>
      <c r="M30" s="16">
        <v>5</v>
      </c>
      <c r="N30" s="16">
        <v>0</v>
      </c>
      <c r="O30" s="16">
        <v>4</v>
      </c>
      <c r="P30" s="16">
        <v>0</v>
      </c>
      <c r="Q30" s="16">
        <v>0</v>
      </c>
      <c r="R30" s="16">
        <v>0</v>
      </c>
      <c r="S30" s="16">
        <v>0</v>
      </c>
      <c r="T30" s="16">
        <v>3</v>
      </c>
      <c r="U30" s="25">
        <f t="shared" si="0"/>
        <v>25</v>
      </c>
    </row>
    <row r="31" spans="1:21">
      <c r="A31" s="15">
        <v>28</v>
      </c>
      <c r="B31" s="16" t="s">
        <v>108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4</v>
      </c>
      <c r="J31" s="16">
        <v>0</v>
      </c>
      <c r="K31" s="16">
        <v>0</v>
      </c>
      <c r="L31" s="16">
        <v>0</v>
      </c>
      <c r="M31" s="16">
        <v>3</v>
      </c>
      <c r="N31" s="16">
        <v>0</v>
      </c>
      <c r="O31" s="16">
        <v>4</v>
      </c>
      <c r="P31" s="16">
        <v>0</v>
      </c>
      <c r="Q31" s="16">
        <v>0</v>
      </c>
      <c r="R31" s="16">
        <v>0</v>
      </c>
      <c r="S31" s="16">
        <v>4</v>
      </c>
      <c r="T31" s="16">
        <v>0</v>
      </c>
      <c r="U31" s="25">
        <f t="shared" si="0"/>
        <v>15</v>
      </c>
    </row>
    <row r="32" spans="1:21">
      <c r="A32" s="15">
        <v>29</v>
      </c>
      <c r="B32" s="16" t="s">
        <v>109</v>
      </c>
      <c r="C32" s="16">
        <v>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5</v>
      </c>
      <c r="P32" s="16">
        <v>0</v>
      </c>
      <c r="Q32" s="16">
        <v>0</v>
      </c>
      <c r="R32" s="16">
        <v>0</v>
      </c>
      <c r="S32" s="16">
        <v>2</v>
      </c>
      <c r="T32" s="16">
        <v>0</v>
      </c>
      <c r="U32" s="25">
        <f t="shared" si="0"/>
        <v>7</v>
      </c>
    </row>
    <row r="33" spans="1:21">
      <c r="A33" s="15">
        <v>30</v>
      </c>
      <c r="B33" s="16" t="s">
        <v>110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1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5</v>
      </c>
      <c r="P33" s="16">
        <v>0</v>
      </c>
      <c r="Q33" s="16">
        <v>0</v>
      </c>
      <c r="R33" s="16">
        <v>0</v>
      </c>
      <c r="S33" s="16">
        <v>2</v>
      </c>
      <c r="T33" s="16">
        <v>0</v>
      </c>
      <c r="U33" s="25">
        <f t="shared" si="0"/>
        <v>8</v>
      </c>
    </row>
    <row r="34" spans="1:21">
      <c r="A34" s="15">
        <v>31</v>
      </c>
      <c r="B34" s="16" t="s">
        <v>111</v>
      </c>
      <c r="C34" s="16">
        <v>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1</v>
      </c>
      <c r="J34" s="16">
        <v>4</v>
      </c>
      <c r="K34" s="16">
        <v>0</v>
      </c>
      <c r="L34" s="16">
        <v>0</v>
      </c>
      <c r="M34" s="16">
        <v>11</v>
      </c>
      <c r="N34" s="16">
        <v>5</v>
      </c>
      <c r="O34" s="16">
        <v>4</v>
      </c>
      <c r="P34" s="16">
        <v>0</v>
      </c>
      <c r="Q34" s="16">
        <v>12</v>
      </c>
      <c r="R34" s="16">
        <v>0</v>
      </c>
      <c r="S34" s="16">
        <v>6</v>
      </c>
      <c r="T34" s="16">
        <v>3</v>
      </c>
      <c r="U34" s="25">
        <f t="shared" si="0"/>
        <v>46</v>
      </c>
    </row>
    <row r="35" spans="1:21">
      <c r="A35" s="11"/>
      <c r="B35" s="12"/>
      <c r="C35" s="13">
        <f t="shared" ref="C35:H35" si="1">SUM(C4:C32)</f>
        <v>0</v>
      </c>
      <c r="D35" s="13">
        <f t="shared" si="1"/>
        <v>0</v>
      </c>
      <c r="E35" s="13">
        <f t="shared" si="1"/>
        <v>0</v>
      </c>
      <c r="F35" s="13">
        <f t="shared" si="1"/>
        <v>0</v>
      </c>
      <c r="G35" s="13">
        <f t="shared" si="1"/>
        <v>0</v>
      </c>
      <c r="H35" s="13">
        <f t="shared" si="1"/>
        <v>0</v>
      </c>
      <c r="I35" s="13">
        <f>SUM(I4:I34)</f>
        <v>61</v>
      </c>
      <c r="J35" s="13">
        <f t="shared" ref="J35:T35" si="2">SUM(J4:J34)</f>
        <v>25</v>
      </c>
      <c r="K35" s="13">
        <f t="shared" si="2"/>
        <v>0</v>
      </c>
      <c r="L35" s="13">
        <f t="shared" si="2"/>
        <v>0</v>
      </c>
      <c r="M35" s="13">
        <f t="shared" si="2"/>
        <v>34</v>
      </c>
      <c r="N35" s="13">
        <f t="shared" si="2"/>
        <v>12</v>
      </c>
      <c r="O35" s="13">
        <f t="shared" si="2"/>
        <v>64</v>
      </c>
      <c r="P35" s="13">
        <f t="shared" si="2"/>
        <v>13</v>
      </c>
      <c r="Q35" s="13">
        <f t="shared" si="2"/>
        <v>17</v>
      </c>
      <c r="R35" s="13">
        <f t="shared" si="2"/>
        <v>0</v>
      </c>
      <c r="S35" s="13">
        <f t="shared" si="2"/>
        <v>139</v>
      </c>
      <c r="T35" s="13">
        <f t="shared" si="2"/>
        <v>16</v>
      </c>
      <c r="U35" s="25">
        <f>SUM(U5:U34)</f>
        <v>381</v>
      </c>
    </row>
    <row r="39" spans="1:21">
      <c r="U39">
        <f>5+5+5+5+4+4+4+4+6+3+4+3+3+8+9+9+7+7+7+6+7+7+6+4+3+3+4+2+2+6+3</f>
        <v>155</v>
      </c>
    </row>
    <row r="43" spans="1:21">
      <c r="U43">
        <f>91+46+77+17+155</f>
        <v>386</v>
      </c>
    </row>
  </sheetData>
  <mergeCells count="10">
    <mergeCell ref="A1:T1"/>
    <mergeCell ref="C2:D2"/>
    <mergeCell ref="E2:F2"/>
    <mergeCell ref="G2:H2"/>
    <mergeCell ref="I2:J2"/>
    <mergeCell ref="K2:L2"/>
    <mergeCell ref="M2:N2"/>
    <mergeCell ref="O2:P2"/>
    <mergeCell ref="Q2:R2"/>
    <mergeCell ref="S2:T2"/>
  </mergeCells>
  <hyperlinks>
    <hyperlink ref="A2" r:id="rId1" xr:uid="{00000000-0004-0000-0700-000000000000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39"/>
  <sheetViews>
    <sheetView topLeftCell="A22" workbookViewId="0">
      <selection activeCell="W34" sqref="W34"/>
    </sheetView>
  </sheetViews>
  <sheetFormatPr defaultColWidth="9.140625" defaultRowHeight="15"/>
  <cols>
    <col min="1" max="1" width="4.5703125" customWidth="1"/>
    <col min="2" max="2" width="7.85546875" customWidth="1"/>
    <col min="3" max="3" width="4.5703125" customWidth="1"/>
    <col min="4" max="4" width="5.5703125" customWidth="1"/>
    <col min="5" max="5" width="4" customWidth="1"/>
    <col min="6" max="6" width="5.5703125" customWidth="1"/>
    <col min="7" max="7" width="4" customWidth="1"/>
    <col min="8" max="8" width="5.5703125" customWidth="1"/>
    <col min="9" max="9" width="4" customWidth="1"/>
    <col min="10" max="10" width="5.5703125" customWidth="1"/>
    <col min="11" max="11" width="4" customWidth="1"/>
    <col min="12" max="12" width="5.85546875" customWidth="1"/>
    <col min="13" max="13" width="4.28515625" customWidth="1"/>
    <col min="14" max="14" width="5.5703125" customWidth="1"/>
    <col min="15" max="15" width="4.5703125" customWidth="1"/>
    <col min="16" max="16" width="5.5703125" customWidth="1"/>
    <col min="17" max="17" width="4.5703125" customWidth="1"/>
    <col min="18" max="18" width="5.5703125" customWidth="1"/>
  </cols>
  <sheetData>
    <row r="1" spans="1:19" ht="18.75">
      <c r="A1" s="51" t="s">
        <v>113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3"/>
    </row>
    <row r="2" spans="1:19">
      <c r="A2" s="22" t="s">
        <v>1</v>
      </c>
      <c r="B2" s="23" t="s">
        <v>2</v>
      </c>
      <c r="C2" s="54" t="s">
        <v>3</v>
      </c>
      <c r="D2" s="55"/>
      <c r="E2" s="54" t="s">
        <v>4</v>
      </c>
      <c r="F2" s="55"/>
      <c r="G2" s="54" t="s">
        <v>5</v>
      </c>
      <c r="H2" s="55"/>
      <c r="I2" s="54" t="s">
        <v>6</v>
      </c>
      <c r="J2" s="55"/>
      <c r="K2" s="54" t="s">
        <v>7</v>
      </c>
      <c r="L2" s="55"/>
      <c r="M2" s="54" t="s">
        <v>8</v>
      </c>
      <c r="N2" s="55"/>
      <c r="O2" s="54" t="s">
        <v>9</v>
      </c>
      <c r="P2" s="55"/>
      <c r="Q2" s="54" t="s">
        <v>10</v>
      </c>
      <c r="R2" s="55"/>
    </row>
    <row r="3" spans="1:19">
      <c r="A3" s="11"/>
      <c r="B3" s="12"/>
      <c r="C3" s="13" t="s">
        <v>12</v>
      </c>
      <c r="D3" s="13" t="s">
        <v>13</v>
      </c>
      <c r="E3" s="13" t="s">
        <v>12</v>
      </c>
      <c r="F3" s="13" t="s">
        <v>13</v>
      </c>
      <c r="G3" s="13" t="s">
        <v>12</v>
      </c>
      <c r="H3" s="13" t="s">
        <v>13</v>
      </c>
      <c r="I3" s="13" t="s">
        <v>12</v>
      </c>
      <c r="J3" s="13" t="s">
        <v>13</v>
      </c>
      <c r="K3" s="13" t="s">
        <v>12</v>
      </c>
      <c r="L3" s="13" t="s">
        <v>13</v>
      </c>
      <c r="M3" s="13" t="s">
        <v>12</v>
      </c>
      <c r="N3" s="13" t="s">
        <v>13</v>
      </c>
      <c r="O3" s="13" t="s">
        <v>12</v>
      </c>
      <c r="P3" s="13" t="s">
        <v>13</v>
      </c>
      <c r="Q3" s="13" t="s">
        <v>12</v>
      </c>
      <c r="R3" s="13" t="s">
        <v>13</v>
      </c>
    </row>
    <row r="4" spans="1:19">
      <c r="A4" s="15">
        <v>1</v>
      </c>
      <c r="B4" s="16" t="s">
        <v>81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</row>
    <row r="5" spans="1:19">
      <c r="A5" s="15">
        <v>2</v>
      </c>
      <c r="B5" s="16" t="s">
        <v>82</v>
      </c>
      <c r="C5" s="16">
        <v>6</v>
      </c>
      <c r="D5" s="16">
        <v>0</v>
      </c>
      <c r="E5" s="16">
        <v>0</v>
      </c>
      <c r="F5" s="16">
        <v>0</v>
      </c>
      <c r="G5" s="16">
        <v>0</v>
      </c>
      <c r="H5" s="16">
        <v>0</v>
      </c>
      <c r="I5" s="16">
        <v>6</v>
      </c>
      <c r="J5" s="16">
        <v>0</v>
      </c>
      <c r="K5" s="16">
        <v>0</v>
      </c>
      <c r="L5" s="16">
        <v>0</v>
      </c>
      <c r="M5" s="16">
        <v>16</v>
      </c>
      <c r="N5" s="16">
        <v>0</v>
      </c>
      <c r="O5" s="16">
        <v>25</v>
      </c>
      <c r="P5" s="16">
        <v>0</v>
      </c>
      <c r="Q5" s="16">
        <v>8</v>
      </c>
      <c r="R5" s="16">
        <v>0</v>
      </c>
      <c r="S5" s="24">
        <f>SUM(C5:Q5)</f>
        <v>61</v>
      </c>
    </row>
    <row r="6" spans="1:19">
      <c r="A6" s="15">
        <v>3</v>
      </c>
      <c r="B6" s="16" t="s">
        <v>83</v>
      </c>
      <c r="C6" s="16">
        <v>1</v>
      </c>
      <c r="D6" s="16">
        <v>0</v>
      </c>
      <c r="E6" s="16">
        <v>0</v>
      </c>
      <c r="F6" s="16">
        <v>0</v>
      </c>
      <c r="G6" s="16">
        <v>0</v>
      </c>
      <c r="H6" s="16">
        <v>0</v>
      </c>
      <c r="I6" s="16">
        <v>2</v>
      </c>
      <c r="J6" s="16">
        <v>0</v>
      </c>
      <c r="K6" s="16">
        <v>0</v>
      </c>
      <c r="L6" s="16">
        <v>0</v>
      </c>
      <c r="M6" s="16">
        <v>5</v>
      </c>
      <c r="N6" s="16">
        <v>0</v>
      </c>
      <c r="O6" s="16">
        <v>25</v>
      </c>
      <c r="P6" s="16">
        <v>0</v>
      </c>
      <c r="Q6" s="16">
        <v>8</v>
      </c>
      <c r="R6" s="16">
        <v>0</v>
      </c>
      <c r="S6" s="24">
        <f t="shared" ref="S6:S35" si="0">SUM(C6:Q6)</f>
        <v>41</v>
      </c>
    </row>
    <row r="7" spans="1:19">
      <c r="A7" s="15">
        <v>4</v>
      </c>
      <c r="B7" s="16" t="s">
        <v>84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24">
        <f t="shared" si="0"/>
        <v>0</v>
      </c>
    </row>
    <row r="8" spans="1:19">
      <c r="A8" s="15">
        <v>5</v>
      </c>
      <c r="B8" s="16" t="s">
        <v>85</v>
      </c>
      <c r="C8" s="16">
        <v>4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4</v>
      </c>
      <c r="J8" s="16">
        <v>0</v>
      </c>
      <c r="K8" s="16">
        <v>0</v>
      </c>
      <c r="L8" s="16">
        <v>0</v>
      </c>
      <c r="M8" s="16">
        <v>11</v>
      </c>
      <c r="N8" s="16">
        <v>0</v>
      </c>
      <c r="O8" s="16">
        <v>19</v>
      </c>
      <c r="P8" s="16">
        <v>0</v>
      </c>
      <c r="Q8" s="16">
        <v>1</v>
      </c>
      <c r="R8" s="16">
        <v>0</v>
      </c>
      <c r="S8" s="24">
        <f t="shared" si="0"/>
        <v>39</v>
      </c>
    </row>
    <row r="9" spans="1:19">
      <c r="A9" s="15">
        <v>6</v>
      </c>
      <c r="B9" s="16" t="s">
        <v>86</v>
      </c>
      <c r="C9" s="16">
        <v>1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3</v>
      </c>
      <c r="N9" s="16">
        <v>0</v>
      </c>
      <c r="O9" s="16">
        <v>22</v>
      </c>
      <c r="P9" s="16">
        <v>0</v>
      </c>
      <c r="Q9" s="16">
        <v>0</v>
      </c>
      <c r="R9" s="16">
        <v>0</v>
      </c>
      <c r="S9" s="24">
        <f t="shared" si="0"/>
        <v>26</v>
      </c>
    </row>
    <row r="10" spans="1:19">
      <c r="A10" s="15">
        <v>7</v>
      </c>
      <c r="B10" s="16" t="s">
        <v>87</v>
      </c>
      <c r="C10" s="16">
        <v>1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3</v>
      </c>
      <c r="N10" s="16">
        <v>0</v>
      </c>
      <c r="O10" s="16">
        <v>10</v>
      </c>
      <c r="P10" s="16">
        <v>0</v>
      </c>
      <c r="Q10" s="16">
        <v>0</v>
      </c>
      <c r="R10" s="16">
        <v>0</v>
      </c>
      <c r="S10" s="24">
        <f t="shared" si="0"/>
        <v>14</v>
      </c>
    </row>
    <row r="11" spans="1:19">
      <c r="A11" s="15">
        <v>8</v>
      </c>
      <c r="B11" s="16" t="s">
        <v>88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7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5</v>
      </c>
      <c r="P11" s="16">
        <v>6</v>
      </c>
      <c r="Q11" s="16">
        <v>0</v>
      </c>
      <c r="R11" s="16">
        <v>0</v>
      </c>
      <c r="S11" s="24">
        <f t="shared" si="0"/>
        <v>18</v>
      </c>
    </row>
    <row r="12" spans="1:19">
      <c r="A12" s="15">
        <v>9</v>
      </c>
      <c r="B12" s="16" t="s">
        <v>89</v>
      </c>
      <c r="C12" s="16">
        <v>1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5</v>
      </c>
      <c r="J12" s="16">
        <v>0</v>
      </c>
      <c r="K12" s="16">
        <v>0</v>
      </c>
      <c r="L12" s="16">
        <v>0</v>
      </c>
      <c r="M12" s="16">
        <v>1</v>
      </c>
      <c r="N12" s="16">
        <v>0</v>
      </c>
      <c r="O12" s="16">
        <v>19</v>
      </c>
      <c r="P12" s="16">
        <v>2</v>
      </c>
      <c r="Q12" s="16">
        <v>0</v>
      </c>
      <c r="R12" s="16">
        <v>0</v>
      </c>
      <c r="S12" s="24">
        <f t="shared" si="0"/>
        <v>28</v>
      </c>
    </row>
    <row r="13" spans="1:19">
      <c r="A13" s="15">
        <v>10</v>
      </c>
      <c r="B13" s="16" t="s">
        <v>90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2</v>
      </c>
      <c r="J13" s="16">
        <v>0</v>
      </c>
      <c r="K13" s="16">
        <v>0</v>
      </c>
      <c r="L13" s="16">
        <v>0</v>
      </c>
      <c r="M13" s="16">
        <v>1</v>
      </c>
      <c r="N13" s="16">
        <v>0</v>
      </c>
      <c r="O13" s="16">
        <v>20</v>
      </c>
      <c r="P13" s="16">
        <v>0</v>
      </c>
      <c r="Q13" s="16">
        <v>0</v>
      </c>
      <c r="R13" s="16">
        <v>0</v>
      </c>
      <c r="S13" s="24">
        <f>SUM(C13:R13)</f>
        <v>23</v>
      </c>
    </row>
    <row r="14" spans="1:19">
      <c r="A14" s="15">
        <v>11</v>
      </c>
      <c r="B14" s="16" t="s">
        <v>91</v>
      </c>
      <c r="C14" s="16">
        <v>1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3</v>
      </c>
      <c r="N14" s="16">
        <v>0</v>
      </c>
      <c r="O14" s="16">
        <v>12</v>
      </c>
      <c r="P14" s="16">
        <v>0</v>
      </c>
      <c r="Q14" s="16">
        <v>0</v>
      </c>
      <c r="R14" s="16">
        <v>0</v>
      </c>
      <c r="S14" s="24">
        <f t="shared" si="0"/>
        <v>16</v>
      </c>
    </row>
    <row r="15" spans="1:19">
      <c r="A15" s="15">
        <v>12</v>
      </c>
      <c r="B15" s="16" t="s">
        <v>92</v>
      </c>
      <c r="C15" s="16">
        <v>1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2</v>
      </c>
      <c r="J15" s="16">
        <v>0</v>
      </c>
      <c r="K15" s="16">
        <v>0</v>
      </c>
      <c r="L15" s="16">
        <v>0</v>
      </c>
      <c r="M15" s="16">
        <v>3</v>
      </c>
      <c r="N15" s="16">
        <v>0</v>
      </c>
      <c r="O15" s="16">
        <v>13</v>
      </c>
      <c r="P15" s="16">
        <v>0</v>
      </c>
      <c r="Q15" s="16">
        <v>0</v>
      </c>
      <c r="R15" s="16">
        <v>0</v>
      </c>
      <c r="S15" s="24">
        <f t="shared" si="0"/>
        <v>19</v>
      </c>
    </row>
    <row r="16" spans="1:19">
      <c r="A16" s="15">
        <v>13</v>
      </c>
      <c r="B16" s="16" t="s">
        <v>93</v>
      </c>
      <c r="C16" s="16">
        <v>1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2</v>
      </c>
      <c r="N16" s="16">
        <v>0</v>
      </c>
      <c r="O16" s="16">
        <v>15</v>
      </c>
      <c r="P16" s="16">
        <v>5</v>
      </c>
      <c r="Q16" s="16">
        <v>0</v>
      </c>
      <c r="R16" s="16">
        <v>0</v>
      </c>
      <c r="S16" s="24">
        <f t="shared" si="0"/>
        <v>23</v>
      </c>
    </row>
    <row r="17" spans="1:19">
      <c r="A17" s="15">
        <v>14</v>
      </c>
      <c r="B17" s="16" t="s">
        <v>94</v>
      </c>
      <c r="C17" s="16">
        <v>1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2</v>
      </c>
      <c r="J17" s="16">
        <v>0</v>
      </c>
      <c r="K17" s="16">
        <v>0</v>
      </c>
      <c r="L17" s="16">
        <v>0</v>
      </c>
      <c r="M17" s="16">
        <v>2</v>
      </c>
      <c r="N17" s="16">
        <v>0</v>
      </c>
      <c r="O17" s="16">
        <v>13</v>
      </c>
      <c r="P17" s="16">
        <v>0</v>
      </c>
      <c r="Q17" s="16">
        <v>0</v>
      </c>
      <c r="R17" s="16">
        <v>0</v>
      </c>
      <c r="S17" s="24">
        <f>SUM(C17:R17)</f>
        <v>18</v>
      </c>
    </row>
    <row r="18" spans="1:19">
      <c r="A18" s="15">
        <v>15</v>
      </c>
      <c r="B18" s="16" t="s">
        <v>95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24">
        <f t="shared" si="0"/>
        <v>0</v>
      </c>
    </row>
    <row r="19" spans="1:19">
      <c r="A19" s="15">
        <v>16</v>
      </c>
      <c r="B19" s="16" t="s">
        <v>96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3</v>
      </c>
      <c r="N19" s="16">
        <v>0</v>
      </c>
      <c r="O19" s="16">
        <v>12</v>
      </c>
      <c r="P19" s="16">
        <v>0</v>
      </c>
      <c r="Q19" s="16">
        <v>0</v>
      </c>
      <c r="R19" s="16">
        <v>0</v>
      </c>
      <c r="S19" s="24">
        <f>SUM(C19:R19)</f>
        <v>15</v>
      </c>
    </row>
    <row r="20" spans="1:19">
      <c r="A20" s="15">
        <v>17</v>
      </c>
      <c r="B20" s="16" t="s">
        <v>97</v>
      </c>
      <c r="C20" s="16">
        <v>1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2</v>
      </c>
      <c r="N20" s="16">
        <v>0</v>
      </c>
      <c r="O20" s="16">
        <v>19</v>
      </c>
      <c r="P20" s="16">
        <v>0</v>
      </c>
      <c r="Q20" s="16">
        <v>0</v>
      </c>
      <c r="R20" s="16">
        <v>0</v>
      </c>
      <c r="S20" s="24">
        <f>SUM(C20:R20)</f>
        <v>22</v>
      </c>
    </row>
    <row r="21" spans="1:19">
      <c r="A21" s="15">
        <v>18</v>
      </c>
      <c r="B21" s="16" t="s">
        <v>98</v>
      </c>
      <c r="C21" s="16">
        <v>2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2</v>
      </c>
      <c r="J21" s="16">
        <v>0</v>
      </c>
      <c r="K21" s="16">
        <v>0</v>
      </c>
      <c r="L21" s="16">
        <v>0</v>
      </c>
      <c r="M21" s="16">
        <v>3</v>
      </c>
      <c r="N21" s="16">
        <v>0</v>
      </c>
      <c r="O21" s="16">
        <v>21</v>
      </c>
      <c r="P21" s="16">
        <v>0</v>
      </c>
      <c r="Q21" s="16">
        <v>0</v>
      </c>
      <c r="R21" s="16">
        <v>0</v>
      </c>
      <c r="S21" s="24">
        <f t="shared" si="0"/>
        <v>28</v>
      </c>
    </row>
    <row r="22" spans="1:19">
      <c r="A22" s="15">
        <v>19</v>
      </c>
      <c r="B22" s="16" t="s">
        <v>99</v>
      </c>
      <c r="C22" s="16">
        <v>2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4</v>
      </c>
      <c r="J22" s="16">
        <v>0</v>
      </c>
      <c r="K22" s="16">
        <v>0</v>
      </c>
      <c r="L22" s="16">
        <v>0</v>
      </c>
      <c r="M22" s="16">
        <v>2</v>
      </c>
      <c r="N22" s="16">
        <v>0</v>
      </c>
      <c r="O22" s="16">
        <v>20</v>
      </c>
      <c r="P22" s="16">
        <v>0</v>
      </c>
      <c r="Q22" s="16">
        <v>0</v>
      </c>
      <c r="R22" s="16">
        <v>0</v>
      </c>
      <c r="S22" s="24">
        <f>SUM(C22:R22)</f>
        <v>28</v>
      </c>
    </row>
    <row r="23" spans="1:19">
      <c r="A23" s="15">
        <v>20</v>
      </c>
      <c r="B23" s="16" t="s">
        <v>100</v>
      </c>
      <c r="C23" s="16">
        <v>4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9</v>
      </c>
      <c r="J23" s="16">
        <v>2</v>
      </c>
      <c r="K23" s="16">
        <v>0</v>
      </c>
      <c r="L23" s="16">
        <v>0</v>
      </c>
      <c r="M23" s="16">
        <v>7</v>
      </c>
      <c r="N23" s="16">
        <v>0</v>
      </c>
      <c r="O23" s="16">
        <v>24</v>
      </c>
      <c r="P23" s="16">
        <v>0</v>
      </c>
      <c r="Q23" s="16">
        <v>2</v>
      </c>
      <c r="R23" s="16">
        <v>0</v>
      </c>
      <c r="S23" s="24">
        <f>SUM(C23:R23)</f>
        <v>48</v>
      </c>
    </row>
    <row r="24" spans="1:19">
      <c r="A24" s="15">
        <v>21</v>
      </c>
      <c r="B24" s="16" t="s">
        <v>101</v>
      </c>
      <c r="C24" s="16">
        <v>4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6</v>
      </c>
      <c r="J24" s="16">
        <v>0</v>
      </c>
      <c r="K24" s="16">
        <v>0</v>
      </c>
      <c r="L24" s="16">
        <v>0</v>
      </c>
      <c r="M24" s="16">
        <v>2</v>
      </c>
      <c r="N24" s="16">
        <v>0</v>
      </c>
      <c r="O24" s="16">
        <v>23</v>
      </c>
      <c r="P24" s="16">
        <v>0</v>
      </c>
      <c r="Q24" s="16">
        <v>2</v>
      </c>
      <c r="R24" s="16">
        <v>0</v>
      </c>
      <c r="S24" s="24">
        <f>SUM(C24:R24)</f>
        <v>37</v>
      </c>
    </row>
    <row r="25" spans="1:19">
      <c r="A25" s="15">
        <v>22</v>
      </c>
      <c r="B25" s="16" t="s">
        <v>102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>
        <v>1</v>
      </c>
      <c r="N25" s="16">
        <v>0</v>
      </c>
      <c r="O25" s="16">
        <v>2</v>
      </c>
      <c r="P25" s="16">
        <v>0</v>
      </c>
      <c r="Q25" s="16"/>
      <c r="R25" s="16"/>
      <c r="S25" s="24">
        <f t="shared" si="0"/>
        <v>3</v>
      </c>
    </row>
    <row r="26" spans="1:19">
      <c r="A26" s="15">
        <v>23</v>
      </c>
      <c r="B26" s="16" t="s">
        <v>103</v>
      </c>
      <c r="C26" s="16">
        <v>4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8</v>
      </c>
      <c r="J26" s="16">
        <v>0</v>
      </c>
      <c r="K26" s="16">
        <v>0</v>
      </c>
      <c r="L26" s="16">
        <v>0</v>
      </c>
      <c r="M26" s="16">
        <v>8</v>
      </c>
      <c r="N26" s="16">
        <v>0</v>
      </c>
      <c r="O26" s="16">
        <v>23</v>
      </c>
      <c r="P26" s="16">
        <v>0</v>
      </c>
      <c r="Q26" s="16">
        <v>3</v>
      </c>
      <c r="R26" s="16">
        <v>0</v>
      </c>
      <c r="S26" s="24">
        <f t="shared" si="0"/>
        <v>46</v>
      </c>
    </row>
    <row r="27" spans="1:19">
      <c r="A27" s="15">
        <v>24</v>
      </c>
      <c r="B27" s="16" t="s">
        <v>104</v>
      </c>
      <c r="C27" s="16">
        <v>3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6</v>
      </c>
      <c r="J27" s="16">
        <v>0</v>
      </c>
      <c r="K27" s="16">
        <v>0</v>
      </c>
      <c r="L27" s="16">
        <v>0</v>
      </c>
      <c r="M27" s="16">
        <v>13</v>
      </c>
      <c r="N27" s="16">
        <v>0</v>
      </c>
      <c r="O27" s="16">
        <v>25</v>
      </c>
      <c r="P27" s="16">
        <v>0</v>
      </c>
      <c r="Q27" s="16">
        <v>3</v>
      </c>
      <c r="R27" s="16">
        <v>0</v>
      </c>
      <c r="S27" s="24">
        <f>SUM(C27:R27)</f>
        <v>50</v>
      </c>
    </row>
    <row r="28" spans="1:19">
      <c r="A28" s="15">
        <v>25</v>
      </c>
      <c r="B28" s="16" t="s">
        <v>105</v>
      </c>
      <c r="C28" s="16">
        <v>3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10</v>
      </c>
      <c r="J28" s="16">
        <v>0</v>
      </c>
      <c r="K28" s="16">
        <v>0</v>
      </c>
      <c r="L28" s="16">
        <v>0</v>
      </c>
      <c r="M28" s="16">
        <v>14</v>
      </c>
      <c r="N28" s="16">
        <v>0</v>
      </c>
      <c r="O28" s="16">
        <v>23</v>
      </c>
      <c r="P28" s="16">
        <v>0</v>
      </c>
      <c r="Q28" s="16">
        <v>3</v>
      </c>
      <c r="R28" s="16">
        <v>0</v>
      </c>
      <c r="S28" s="24">
        <f t="shared" si="0"/>
        <v>53</v>
      </c>
    </row>
    <row r="29" spans="1:19">
      <c r="A29" s="15">
        <v>26</v>
      </c>
      <c r="B29" s="16" t="s">
        <v>106</v>
      </c>
      <c r="C29" s="16">
        <v>2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5</v>
      </c>
      <c r="J29" s="24">
        <v>6</v>
      </c>
      <c r="K29" s="16">
        <v>0</v>
      </c>
      <c r="L29" s="16">
        <v>0</v>
      </c>
      <c r="M29" s="16">
        <v>14</v>
      </c>
      <c r="N29" s="16">
        <v>4</v>
      </c>
      <c r="O29" s="16">
        <v>30</v>
      </c>
      <c r="P29" s="16">
        <v>0</v>
      </c>
      <c r="Q29" s="16">
        <v>4</v>
      </c>
      <c r="R29" s="16">
        <v>0</v>
      </c>
      <c r="S29" s="24">
        <f t="shared" si="0"/>
        <v>65</v>
      </c>
    </row>
    <row r="30" spans="1:19">
      <c r="A30" s="15">
        <v>27</v>
      </c>
      <c r="B30" s="16" t="s">
        <v>107</v>
      </c>
      <c r="C30" s="16">
        <v>2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7</v>
      </c>
      <c r="J30" s="16">
        <v>7</v>
      </c>
      <c r="K30" s="16">
        <v>0</v>
      </c>
      <c r="L30" s="16">
        <v>0</v>
      </c>
      <c r="M30" s="16">
        <v>14</v>
      </c>
      <c r="N30" s="16">
        <v>0</v>
      </c>
      <c r="O30" s="16">
        <v>32</v>
      </c>
      <c r="P30" s="16">
        <v>0</v>
      </c>
      <c r="Q30" s="16">
        <v>3</v>
      </c>
      <c r="R30" s="16">
        <v>0</v>
      </c>
      <c r="S30" s="24">
        <f>SUM(C30:R30)</f>
        <v>65</v>
      </c>
    </row>
    <row r="31" spans="1:19">
      <c r="A31" s="15">
        <v>28</v>
      </c>
      <c r="B31" s="16" t="s">
        <v>108</v>
      </c>
      <c r="C31" s="16">
        <v>4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5</v>
      </c>
      <c r="J31" s="16">
        <v>6</v>
      </c>
      <c r="K31" s="16">
        <v>0</v>
      </c>
      <c r="L31" s="16">
        <v>0</v>
      </c>
      <c r="M31" s="16">
        <v>13</v>
      </c>
      <c r="N31" s="16">
        <v>0</v>
      </c>
      <c r="O31" s="16">
        <v>31</v>
      </c>
      <c r="P31" s="16">
        <v>0</v>
      </c>
      <c r="Q31" s="16">
        <v>4</v>
      </c>
      <c r="R31" s="16">
        <v>0</v>
      </c>
      <c r="S31" s="24">
        <f>SUM(C31:R31)</f>
        <v>63</v>
      </c>
    </row>
    <row r="32" spans="1:19">
      <c r="A32" s="15">
        <v>29</v>
      </c>
      <c r="B32" s="16" t="s">
        <v>109</v>
      </c>
      <c r="C32" s="16">
        <v>3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1</v>
      </c>
      <c r="J32" s="16">
        <v>0</v>
      </c>
      <c r="K32" s="16">
        <v>0</v>
      </c>
      <c r="L32" s="16">
        <v>0</v>
      </c>
      <c r="M32" s="16">
        <v>3</v>
      </c>
      <c r="N32" s="16">
        <v>0</v>
      </c>
      <c r="O32" s="16">
        <v>17</v>
      </c>
      <c r="P32" s="16">
        <v>0</v>
      </c>
      <c r="Q32" s="16">
        <v>7</v>
      </c>
      <c r="R32" s="16">
        <v>0</v>
      </c>
      <c r="S32" s="24">
        <f>SUM(C32:R32)</f>
        <v>31</v>
      </c>
    </row>
    <row r="33" spans="1:22">
      <c r="A33" s="15">
        <v>30</v>
      </c>
      <c r="B33" s="16" t="s">
        <v>110</v>
      </c>
      <c r="C33" s="16">
        <v>4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2</v>
      </c>
      <c r="J33" s="16">
        <v>0</v>
      </c>
      <c r="K33" s="16">
        <v>0</v>
      </c>
      <c r="L33" s="16">
        <v>0</v>
      </c>
      <c r="M33" s="16">
        <v>13</v>
      </c>
      <c r="N33" s="16">
        <v>0</v>
      </c>
      <c r="O33" s="16">
        <v>31</v>
      </c>
      <c r="P33" s="16">
        <v>0</v>
      </c>
      <c r="Q33" s="16">
        <v>8</v>
      </c>
      <c r="R33" s="16">
        <v>0</v>
      </c>
      <c r="S33" s="24">
        <f>SUM(C33:R33)</f>
        <v>58</v>
      </c>
    </row>
    <row r="34" spans="1:22">
      <c r="A34" s="15">
        <v>31</v>
      </c>
      <c r="B34" s="16" t="s">
        <v>111</v>
      </c>
      <c r="C34" s="16">
        <v>4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2</v>
      </c>
      <c r="J34" s="16">
        <v>4</v>
      </c>
      <c r="K34" s="16">
        <v>0</v>
      </c>
      <c r="L34" s="16">
        <v>0</v>
      </c>
      <c r="M34" s="16">
        <v>19</v>
      </c>
      <c r="N34" s="16">
        <v>4</v>
      </c>
      <c r="O34" s="16">
        <v>30</v>
      </c>
      <c r="P34" s="16">
        <v>3</v>
      </c>
      <c r="Q34" s="16">
        <v>13</v>
      </c>
      <c r="R34" s="16">
        <v>0</v>
      </c>
      <c r="S34" s="24">
        <f t="shared" si="0"/>
        <v>79</v>
      </c>
    </row>
    <row r="35" spans="1:22">
      <c r="A35" s="11"/>
      <c r="B35" s="12"/>
      <c r="C35" s="16">
        <f>SUM(C4:C34)</f>
        <v>60</v>
      </c>
      <c r="D35" s="16">
        <f t="shared" ref="D35:L35" si="1">SUM(D4:D31)</f>
        <v>0</v>
      </c>
      <c r="E35" s="16">
        <f t="shared" si="1"/>
        <v>0</v>
      </c>
      <c r="F35" s="16">
        <f t="shared" si="1"/>
        <v>0</v>
      </c>
      <c r="G35" s="16">
        <f t="shared" si="1"/>
        <v>0</v>
      </c>
      <c r="H35" s="16">
        <f t="shared" si="1"/>
        <v>0</v>
      </c>
      <c r="I35" s="16">
        <f>SUM(I4:I34)</f>
        <v>97</v>
      </c>
      <c r="J35" s="16">
        <f>SUM(J4:J34)</f>
        <v>25</v>
      </c>
      <c r="K35" s="16">
        <f t="shared" si="1"/>
        <v>0</v>
      </c>
      <c r="L35" s="16">
        <f t="shared" si="1"/>
        <v>0</v>
      </c>
      <c r="M35" s="16">
        <f>SUM(M4:M34)</f>
        <v>181</v>
      </c>
      <c r="N35" s="16">
        <f>SUM(N4:N34)</f>
        <v>8</v>
      </c>
      <c r="O35" s="16">
        <f>SUM(O4:O34)</f>
        <v>561</v>
      </c>
      <c r="P35" s="16">
        <f>SUM(P4:P34)</f>
        <v>16</v>
      </c>
      <c r="Q35" s="16">
        <f>SUM(Q4:Q34)</f>
        <v>69</v>
      </c>
      <c r="R35" s="16">
        <v>0</v>
      </c>
      <c r="S35" s="24">
        <f t="shared" si="0"/>
        <v>1017</v>
      </c>
    </row>
    <row r="39" spans="1:22">
      <c r="V39" t="s">
        <v>114</v>
      </c>
    </row>
  </sheetData>
  <mergeCells count="9">
    <mergeCell ref="A1:R1"/>
    <mergeCell ref="C2:D2"/>
    <mergeCell ref="E2:F2"/>
    <mergeCell ref="G2:H2"/>
    <mergeCell ref="I2:J2"/>
    <mergeCell ref="K2:L2"/>
    <mergeCell ref="M2:N2"/>
    <mergeCell ref="O2:P2"/>
    <mergeCell ref="Q2:R2"/>
  </mergeCells>
  <hyperlinks>
    <hyperlink ref="A2" r:id="rId1" xr:uid="{00000000-0004-0000-0800-000000000000}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35"/>
  <sheetViews>
    <sheetView topLeftCell="A17" workbookViewId="0">
      <selection activeCell="W29" sqref="W29"/>
    </sheetView>
  </sheetViews>
  <sheetFormatPr defaultColWidth="9" defaultRowHeight="15"/>
  <cols>
    <col min="1" max="1" width="4.85546875" customWidth="1"/>
    <col min="2" max="2" width="8.140625" customWidth="1"/>
    <col min="3" max="3" width="4.28515625" customWidth="1"/>
    <col min="4" max="4" width="5.85546875" customWidth="1"/>
    <col min="5" max="5" width="4.28515625" customWidth="1"/>
    <col min="6" max="6" width="5.85546875" customWidth="1"/>
    <col min="7" max="7" width="4.28515625" customWidth="1"/>
    <col min="8" max="8" width="5.85546875" customWidth="1"/>
    <col min="9" max="9" width="4.28515625" customWidth="1"/>
    <col min="10" max="10" width="5.85546875" customWidth="1"/>
    <col min="11" max="11" width="4.28515625" customWidth="1"/>
    <col min="12" max="12" width="5.85546875" customWidth="1"/>
    <col min="13" max="13" width="4.28515625" customWidth="1"/>
    <col min="14" max="14" width="5.85546875" customWidth="1"/>
    <col min="15" max="15" width="4.28515625" customWidth="1"/>
    <col min="16" max="16" width="5.85546875" customWidth="1"/>
    <col min="17" max="17" width="4.28515625" customWidth="1"/>
    <col min="18" max="18" width="5.85546875" customWidth="1"/>
    <col min="19" max="19" width="5" customWidth="1"/>
    <col min="20" max="20" width="5.85546875" customWidth="1"/>
    <col min="21" max="21" width="6.5703125" customWidth="1"/>
  </cols>
  <sheetData>
    <row r="1" spans="1:25" ht="18.75">
      <c r="A1" s="43" t="s">
        <v>115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1"/>
    </row>
    <row r="2" spans="1:25">
      <c r="A2" s="20" t="s">
        <v>1</v>
      </c>
      <c r="B2" s="21" t="s">
        <v>2</v>
      </c>
      <c r="C2" s="44" t="s">
        <v>3</v>
      </c>
      <c r="D2" s="45"/>
      <c r="E2" s="44" t="s">
        <v>4</v>
      </c>
      <c r="F2" s="45"/>
      <c r="G2" s="44" t="s">
        <v>5</v>
      </c>
      <c r="H2" s="45"/>
      <c r="I2" s="44" t="s">
        <v>6</v>
      </c>
      <c r="J2" s="45"/>
      <c r="K2" s="44" t="s">
        <v>7</v>
      </c>
      <c r="L2" s="45"/>
      <c r="M2" s="44" t="s">
        <v>8</v>
      </c>
      <c r="N2" s="45"/>
      <c r="O2" s="44" t="s">
        <v>9</v>
      </c>
      <c r="P2" s="45"/>
      <c r="Q2" s="44" t="s">
        <v>10</v>
      </c>
      <c r="R2" s="45"/>
      <c r="S2" s="44" t="s">
        <v>11</v>
      </c>
      <c r="T2" s="45"/>
      <c r="U2" s="1" t="s">
        <v>80</v>
      </c>
    </row>
    <row r="3" spans="1:25">
      <c r="A3" s="4"/>
      <c r="B3" s="5"/>
      <c r="C3" s="6" t="s">
        <v>12</v>
      </c>
      <c r="D3" s="6" t="s">
        <v>13</v>
      </c>
      <c r="E3" s="6" t="s">
        <v>12</v>
      </c>
      <c r="F3" s="6" t="s">
        <v>13</v>
      </c>
      <c r="G3" s="6" t="s">
        <v>12</v>
      </c>
      <c r="H3" s="6" t="s">
        <v>13</v>
      </c>
      <c r="I3" s="6" t="s">
        <v>12</v>
      </c>
      <c r="J3" s="6" t="s">
        <v>13</v>
      </c>
      <c r="K3" s="6" t="s">
        <v>12</v>
      </c>
      <c r="L3" s="6" t="s">
        <v>13</v>
      </c>
      <c r="M3" s="6" t="s">
        <v>12</v>
      </c>
      <c r="N3" s="6" t="s">
        <v>13</v>
      </c>
      <c r="O3" s="6" t="s">
        <v>12</v>
      </c>
      <c r="P3" s="6" t="s">
        <v>13</v>
      </c>
      <c r="Q3" s="6" t="s">
        <v>12</v>
      </c>
      <c r="R3" s="6" t="s">
        <v>13</v>
      </c>
      <c r="S3" s="6" t="s">
        <v>12</v>
      </c>
      <c r="T3" s="6" t="s">
        <v>13</v>
      </c>
      <c r="U3" s="1"/>
    </row>
    <row r="4" spans="1:25">
      <c r="A4" s="7">
        <v>1</v>
      </c>
      <c r="B4" s="8" t="s">
        <v>116</v>
      </c>
      <c r="C4" s="8">
        <v>4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1</v>
      </c>
      <c r="J4" s="8">
        <v>0</v>
      </c>
      <c r="K4" s="8">
        <v>0</v>
      </c>
      <c r="L4" s="8">
        <v>0</v>
      </c>
      <c r="M4" s="8">
        <v>7</v>
      </c>
      <c r="N4" s="8">
        <v>0</v>
      </c>
      <c r="O4" s="8">
        <v>18</v>
      </c>
      <c r="P4" s="8">
        <v>0</v>
      </c>
      <c r="Q4" s="8">
        <v>0</v>
      </c>
      <c r="R4" s="8">
        <v>0</v>
      </c>
      <c r="S4" s="8">
        <v>56</v>
      </c>
      <c r="T4" s="8">
        <v>0</v>
      </c>
      <c r="U4" s="1">
        <f>SUM(C4:T4)</f>
        <v>86</v>
      </c>
    </row>
    <row r="5" spans="1:25">
      <c r="A5" s="7">
        <v>2</v>
      </c>
      <c r="B5" s="8" t="s">
        <v>117</v>
      </c>
      <c r="C5" s="8">
        <v>5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1</v>
      </c>
      <c r="J5" s="8">
        <v>0</v>
      </c>
      <c r="K5" s="8">
        <v>0</v>
      </c>
      <c r="L5" s="8">
        <v>0</v>
      </c>
      <c r="M5" s="8">
        <v>13</v>
      </c>
      <c r="N5" s="8">
        <v>0</v>
      </c>
      <c r="O5" s="8">
        <v>16</v>
      </c>
      <c r="P5" s="8">
        <v>0</v>
      </c>
      <c r="Q5" s="8">
        <v>0</v>
      </c>
      <c r="R5" s="8">
        <v>0</v>
      </c>
      <c r="S5" s="8">
        <v>57</v>
      </c>
      <c r="T5" s="8">
        <v>0</v>
      </c>
      <c r="U5" s="1">
        <f t="shared" ref="U5:U33" si="0">SUM(C5:T5)</f>
        <v>92</v>
      </c>
    </row>
    <row r="6" spans="1:25">
      <c r="A6" s="7">
        <v>3</v>
      </c>
      <c r="B6" s="8" t="s">
        <v>118</v>
      </c>
      <c r="C6" s="8">
        <v>5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1</v>
      </c>
      <c r="J6" s="8">
        <v>0</v>
      </c>
      <c r="K6" s="8">
        <v>0</v>
      </c>
      <c r="L6" s="8">
        <v>0</v>
      </c>
      <c r="M6" s="8">
        <v>10</v>
      </c>
      <c r="N6" s="8">
        <v>0</v>
      </c>
      <c r="O6" s="8">
        <v>22</v>
      </c>
      <c r="P6" s="8">
        <v>0</v>
      </c>
      <c r="Q6" s="8">
        <v>0</v>
      </c>
      <c r="R6" s="8">
        <v>0</v>
      </c>
      <c r="S6" s="8">
        <v>55</v>
      </c>
      <c r="T6" s="8">
        <v>0</v>
      </c>
      <c r="U6" s="1">
        <f t="shared" si="0"/>
        <v>93</v>
      </c>
    </row>
    <row r="7" spans="1:25">
      <c r="A7" s="7">
        <v>4</v>
      </c>
      <c r="B7" s="8" t="s">
        <v>119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6</v>
      </c>
      <c r="P7" s="8">
        <v>0</v>
      </c>
      <c r="Q7" s="8">
        <v>0</v>
      </c>
      <c r="R7" s="8">
        <v>0</v>
      </c>
      <c r="S7" s="8">
        <v>60</v>
      </c>
      <c r="T7" s="8">
        <v>0</v>
      </c>
      <c r="U7" s="1">
        <f t="shared" si="0"/>
        <v>66</v>
      </c>
    </row>
    <row r="8" spans="1:25">
      <c r="A8" s="7">
        <v>5</v>
      </c>
      <c r="B8" s="8" t="s">
        <v>120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1">
        <f t="shared" si="0"/>
        <v>0</v>
      </c>
    </row>
    <row r="9" spans="1:25">
      <c r="A9" s="7">
        <v>6</v>
      </c>
      <c r="B9" s="8" t="s">
        <v>121</v>
      </c>
      <c r="C9" s="8">
        <v>3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6</v>
      </c>
      <c r="N9" s="8">
        <v>0</v>
      </c>
      <c r="O9" s="8">
        <v>14</v>
      </c>
      <c r="P9" s="8">
        <v>0</v>
      </c>
      <c r="Q9" s="8">
        <v>1</v>
      </c>
      <c r="R9" s="8">
        <v>0</v>
      </c>
      <c r="S9" s="8">
        <v>58</v>
      </c>
      <c r="T9" s="8">
        <v>0</v>
      </c>
      <c r="U9" s="1">
        <f t="shared" si="0"/>
        <v>82</v>
      </c>
    </row>
    <row r="10" spans="1:25">
      <c r="A10" s="7">
        <v>7</v>
      </c>
      <c r="B10" s="8" t="s">
        <v>122</v>
      </c>
      <c r="C10" s="8">
        <v>2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19</v>
      </c>
      <c r="P10" s="8">
        <v>0</v>
      </c>
      <c r="Q10" s="8">
        <v>0</v>
      </c>
      <c r="R10" s="8">
        <v>0</v>
      </c>
      <c r="S10" s="8">
        <v>56</v>
      </c>
      <c r="T10" s="8">
        <v>0</v>
      </c>
      <c r="U10" s="1">
        <f t="shared" si="0"/>
        <v>77</v>
      </c>
      <c r="Y10">
        <f>57+4+13+2</f>
        <v>76</v>
      </c>
    </row>
    <row r="11" spans="1:25">
      <c r="A11" s="7">
        <v>8</v>
      </c>
      <c r="B11" s="8" t="s">
        <v>123</v>
      </c>
      <c r="C11" s="8">
        <v>4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13</v>
      </c>
      <c r="P11" s="8">
        <v>0</v>
      </c>
      <c r="Q11" s="8">
        <v>0</v>
      </c>
      <c r="R11" s="8">
        <v>0</v>
      </c>
      <c r="S11" s="8">
        <v>59</v>
      </c>
      <c r="T11" s="8">
        <v>0</v>
      </c>
      <c r="U11" s="1">
        <f t="shared" si="0"/>
        <v>76</v>
      </c>
    </row>
    <row r="12" spans="1:25">
      <c r="A12" s="7">
        <v>9</v>
      </c>
      <c r="B12" s="8" t="s">
        <v>124</v>
      </c>
      <c r="C12" s="8">
        <v>4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4</v>
      </c>
      <c r="N12" s="8">
        <v>0</v>
      </c>
      <c r="O12" s="8">
        <v>19</v>
      </c>
      <c r="P12" s="8">
        <v>0</v>
      </c>
      <c r="Q12" s="8">
        <v>0</v>
      </c>
      <c r="R12" s="8">
        <v>0</v>
      </c>
      <c r="S12" s="8">
        <v>58</v>
      </c>
      <c r="T12" s="8">
        <v>0</v>
      </c>
      <c r="U12" s="1">
        <f t="shared" si="0"/>
        <v>85</v>
      </c>
    </row>
    <row r="13" spans="1:25">
      <c r="A13" s="7">
        <v>10</v>
      </c>
      <c r="B13" s="8" t="s">
        <v>125</v>
      </c>
      <c r="C13" s="8">
        <v>1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4</v>
      </c>
      <c r="N13" s="8">
        <v>0</v>
      </c>
      <c r="O13" s="8">
        <v>16</v>
      </c>
      <c r="P13" s="8">
        <v>0</v>
      </c>
      <c r="Q13" s="8">
        <v>0</v>
      </c>
      <c r="R13" s="8">
        <v>0</v>
      </c>
      <c r="S13" s="8">
        <v>64</v>
      </c>
      <c r="T13" s="8">
        <v>0</v>
      </c>
      <c r="U13" s="1">
        <f t="shared" si="0"/>
        <v>85</v>
      </c>
    </row>
    <row r="14" spans="1:25" ht="17.100000000000001" customHeight="1">
      <c r="A14" s="7">
        <v>11</v>
      </c>
      <c r="B14" s="8" t="s">
        <v>126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5</v>
      </c>
      <c r="N14" s="8">
        <v>0</v>
      </c>
      <c r="O14" s="8">
        <v>18</v>
      </c>
      <c r="P14" s="8">
        <v>0</v>
      </c>
      <c r="Q14" s="8">
        <v>0</v>
      </c>
      <c r="R14" s="8">
        <v>0</v>
      </c>
      <c r="S14" s="8">
        <v>63</v>
      </c>
      <c r="T14" s="8">
        <v>0</v>
      </c>
      <c r="U14" s="1">
        <f t="shared" si="0"/>
        <v>86</v>
      </c>
    </row>
    <row r="15" spans="1:25">
      <c r="A15" s="7">
        <v>12</v>
      </c>
      <c r="B15" s="8" t="s">
        <v>127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1">
        <f t="shared" si="0"/>
        <v>0</v>
      </c>
    </row>
    <row r="16" spans="1:25">
      <c r="A16" s="7">
        <v>13</v>
      </c>
      <c r="B16" s="8" t="s">
        <v>128</v>
      </c>
      <c r="C16" s="8">
        <v>1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6</v>
      </c>
      <c r="N16" s="8">
        <v>0</v>
      </c>
      <c r="O16" s="8">
        <v>17</v>
      </c>
      <c r="P16" s="8">
        <v>0</v>
      </c>
      <c r="Q16" s="8">
        <v>1</v>
      </c>
      <c r="R16" s="8">
        <v>0</v>
      </c>
      <c r="S16" s="8">
        <v>57</v>
      </c>
      <c r="T16" s="8">
        <v>0</v>
      </c>
      <c r="U16" s="1">
        <f t="shared" si="0"/>
        <v>82</v>
      </c>
    </row>
    <row r="17" spans="1:21">
      <c r="A17" s="7">
        <v>14</v>
      </c>
      <c r="B17" s="8" t="s">
        <v>129</v>
      </c>
      <c r="C17" s="8">
        <v>1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7</v>
      </c>
      <c r="N17" s="8">
        <v>0</v>
      </c>
      <c r="O17" s="8">
        <v>17</v>
      </c>
      <c r="P17" s="8">
        <v>0</v>
      </c>
      <c r="Q17" s="8">
        <v>1</v>
      </c>
      <c r="R17" s="8">
        <v>0</v>
      </c>
      <c r="S17" s="8">
        <v>53</v>
      </c>
      <c r="T17" s="8">
        <v>0</v>
      </c>
      <c r="U17" s="1">
        <f t="shared" si="0"/>
        <v>79</v>
      </c>
    </row>
    <row r="18" spans="1:21">
      <c r="A18" s="7">
        <v>15</v>
      </c>
      <c r="B18" s="8" t="s">
        <v>130</v>
      </c>
      <c r="C18" s="8">
        <v>1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6</v>
      </c>
      <c r="N18" s="8">
        <v>0</v>
      </c>
      <c r="O18" s="8">
        <v>12</v>
      </c>
      <c r="P18" s="8">
        <v>0</v>
      </c>
      <c r="Q18" s="8">
        <v>1</v>
      </c>
      <c r="R18" s="8">
        <v>0</v>
      </c>
      <c r="S18" s="8">
        <v>59</v>
      </c>
      <c r="T18" s="8">
        <v>0</v>
      </c>
      <c r="U18" s="1">
        <f t="shared" si="0"/>
        <v>79</v>
      </c>
    </row>
    <row r="19" spans="1:21">
      <c r="A19" s="7">
        <v>16</v>
      </c>
      <c r="B19" s="8" t="s">
        <v>131</v>
      </c>
      <c r="C19" s="8">
        <v>1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11</v>
      </c>
      <c r="N19" s="8">
        <v>0</v>
      </c>
      <c r="O19" s="8">
        <v>10</v>
      </c>
      <c r="P19" s="8">
        <v>0</v>
      </c>
      <c r="Q19" s="8">
        <v>1</v>
      </c>
      <c r="R19" s="8">
        <v>0</v>
      </c>
      <c r="S19" s="8">
        <v>59</v>
      </c>
      <c r="T19" s="8">
        <v>0</v>
      </c>
      <c r="U19" s="1">
        <f t="shared" si="0"/>
        <v>82</v>
      </c>
    </row>
    <row r="20" spans="1:21">
      <c r="A20" s="7">
        <v>17</v>
      </c>
      <c r="B20" s="8" t="s">
        <v>132</v>
      </c>
      <c r="C20" s="8">
        <v>1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9</v>
      </c>
      <c r="N20" s="8">
        <v>0</v>
      </c>
      <c r="O20" s="8">
        <v>12</v>
      </c>
      <c r="P20" s="8">
        <v>0</v>
      </c>
      <c r="Q20" s="8">
        <v>3</v>
      </c>
      <c r="R20" s="8">
        <v>0</v>
      </c>
      <c r="S20" s="8">
        <v>60</v>
      </c>
      <c r="T20" s="8">
        <v>0</v>
      </c>
      <c r="U20" s="1">
        <f t="shared" si="0"/>
        <v>85</v>
      </c>
    </row>
    <row r="21" spans="1:21">
      <c r="A21" s="7">
        <v>18</v>
      </c>
      <c r="B21" s="8" t="s">
        <v>133</v>
      </c>
      <c r="C21" s="8">
        <v>1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1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52</v>
      </c>
      <c r="T21" s="8">
        <v>0</v>
      </c>
      <c r="U21" s="1">
        <f t="shared" si="0"/>
        <v>54</v>
      </c>
    </row>
    <row r="22" spans="1:21">
      <c r="A22" s="7">
        <v>19</v>
      </c>
      <c r="B22" s="8" t="s">
        <v>134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1"/>
    </row>
    <row r="23" spans="1:21">
      <c r="A23" s="7">
        <v>20</v>
      </c>
      <c r="B23" s="8" t="s">
        <v>135</v>
      </c>
      <c r="C23" s="8">
        <v>1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8</v>
      </c>
      <c r="N23" s="8">
        <v>0</v>
      </c>
      <c r="O23" s="8">
        <v>13</v>
      </c>
      <c r="P23" s="8">
        <v>0</v>
      </c>
      <c r="Q23" s="8">
        <v>1</v>
      </c>
      <c r="R23" s="8">
        <v>0</v>
      </c>
      <c r="S23" s="8">
        <v>62</v>
      </c>
      <c r="T23" s="8">
        <v>0</v>
      </c>
      <c r="U23" s="1">
        <f t="shared" si="0"/>
        <v>85</v>
      </c>
    </row>
    <row r="24" spans="1:21">
      <c r="A24" s="7">
        <v>21</v>
      </c>
      <c r="B24" s="8" t="s">
        <v>136</v>
      </c>
      <c r="C24" s="8">
        <v>1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5</v>
      </c>
      <c r="N24" s="8">
        <v>0</v>
      </c>
      <c r="O24" s="8">
        <v>12</v>
      </c>
      <c r="P24" s="8">
        <v>0</v>
      </c>
      <c r="Q24" s="8">
        <v>1</v>
      </c>
      <c r="R24" s="8">
        <v>0</v>
      </c>
      <c r="S24" s="8">
        <v>60</v>
      </c>
      <c r="T24" s="8">
        <v>0</v>
      </c>
      <c r="U24" s="1">
        <f t="shared" si="0"/>
        <v>79</v>
      </c>
    </row>
    <row r="25" spans="1:21">
      <c r="A25" s="7">
        <v>22</v>
      </c>
      <c r="B25" s="8" t="s">
        <v>137</v>
      </c>
      <c r="C25" s="8">
        <v>1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1</v>
      </c>
      <c r="O25" s="8">
        <v>13</v>
      </c>
      <c r="P25" s="8">
        <v>0</v>
      </c>
      <c r="Q25" s="8">
        <v>0</v>
      </c>
      <c r="R25" s="8">
        <v>0</v>
      </c>
      <c r="S25" s="8">
        <v>60</v>
      </c>
      <c r="T25" s="8">
        <v>0</v>
      </c>
      <c r="U25" s="1">
        <f t="shared" si="0"/>
        <v>75</v>
      </c>
    </row>
    <row r="26" spans="1:21">
      <c r="A26" s="7">
        <v>23</v>
      </c>
      <c r="B26" s="8" t="s">
        <v>138</v>
      </c>
      <c r="C26" s="8">
        <v>1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1</v>
      </c>
      <c r="O26" s="8">
        <v>11</v>
      </c>
      <c r="P26" s="8">
        <v>0</v>
      </c>
      <c r="Q26" s="8">
        <v>0</v>
      </c>
      <c r="R26" s="8">
        <v>0</v>
      </c>
      <c r="S26" s="8">
        <v>61</v>
      </c>
      <c r="T26" s="8">
        <v>0</v>
      </c>
      <c r="U26" s="1">
        <f t="shared" si="0"/>
        <v>74</v>
      </c>
    </row>
    <row r="27" spans="1:21">
      <c r="A27" s="7">
        <v>24</v>
      </c>
      <c r="B27" s="8" t="s">
        <v>139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2</v>
      </c>
      <c r="N27" s="8">
        <v>0</v>
      </c>
      <c r="O27" s="8">
        <v>12</v>
      </c>
      <c r="P27" s="8">
        <v>0</v>
      </c>
      <c r="Q27" s="8">
        <v>1</v>
      </c>
      <c r="R27" s="8">
        <v>0</v>
      </c>
      <c r="S27" s="8">
        <v>59</v>
      </c>
      <c r="T27" s="8">
        <v>0</v>
      </c>
      <c r="U27" s="1">
        <f t="shared" si="0"/>
        <v>74</v>
      </c>
    </row>
    <row r="28" spans="1:21">
      <c r="A28" s="7">
        <v>25</v>
      </c>
      <c r="B28" s="8" t="s">
        <v>140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6</v>
      </c>
      <c r="N28" s="8">
        <v>0</v>
      </c>
      <c r="O28" s="8">
        <v>14</v>
      </c>
      <c r="P28" s="8">
        <v>11</v>
      </c>
      <c r="Q28" s="8">
        <v>1</v>
      </c>
      <c r="R28" s="8">
        <v>0</v>
      </c>
      <c r="S28" s="8">
        <v>62</v>
      </c>
      <c r="T28" s="8">
        <v>5</v>
      </c>
      <c r="U28" s="1">
        <f t="shared" si="0"/>
        <v>99</v>
      </c>
    </row>
    <row r="29" spans="1:21">
      <c r="A29" s="7">
        <v>26</v>
      </c>
      <c r="B29" s="8" t="s">
        <v>141</v>
      </c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1">
        <f t="shared" si="0"/>
        <v>0</v>
      </c>
    </row>
    <row r="30" spans="1:21">
      <c r="A30" s="7">
        <v>27</v>
      </c>
      <c r="B30" s="8" t="s">
        <v>142</v>
      </c>
      <c r="C30" s="8">
        <v>1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6</v>
      </c>
      <c r="N30" s="8">
        <v>0</v>
      </c>
      <c r="O30" s="8">
        <v>13</v>
      </c>
      <c r="P30" s="8">
        <v>0</v>
      </c>
      <c r="Q30" s="8">
        <v>1</v>
      </c>
      <c r="R30" s="8">
        <v>0</v>
      </c>
      <c r="S30" s="8">
        <v>58</v>
      </c>
      <c r="T30" s="8">
        <v>0</v>
      </c>
      <c r="U30" s="1">
        <f t="shared" si="0"/>
        <v>79</v>
      </c>
    </row>
    <row r="31" spans="1:21">
      <c r="A31" s="7">
        <v>28</v>
      </c>
      <c r="B31" s="8" t="s">
        <v>143</v>
      </c>
      <c r="C31" s="8">
        <v>1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4</v>
      </c>
      <c r="N31" s="8">
        <v>0</v>
      </c>
      <c r="O31" s="8">
        <v>10</v>
      </c>
      <c r="P31" s="8">
        <v>3</v>
      </c>
      <c r="Q31" s="8">
        <v>1</v>
      </c>
      <c r="R31" s="8">
        <v>0</v>
      </c>
      <c r="S31" s="8">
        <v>59</v>
      </c>
      <c r="T31" s="8">
        <v>11</v>
      </c>
      <c r="U31" s="1">
        <f t="shared" si="0"/>
        <v>89</v>
      </c>
    </row>
    <row r="32" spans="1:21">
      <c r="A32" s="7">
        <v>29</v>
      </c>
      <c r="B32" s="8" t="s">
        <v>144</v>
      </c>
      <c r="C32" s="8">
        <v>1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9</v>
      </c>
      <c r="N32" s="8">
        <v>0</v>
      </c>
      <c r="O32" s="8">
        <v>7</v>
      </c>
      <c r="P32" s="8">
        <v>4</v>
      </c>
      <c r="Q32" s="8">
        <v>1</v>
      </c>
      <c r="R32" s="8">
        <v>0</v>
      </c>
      <c r="S32" s="8">
        <v>47</v>
      </c>
      <c r="T32" s="8">
        <v>8</v>
      </c>
      <c r="U32" s="1">
        <f t="shared" si="0"/>
        <v>77</v>
      </c>
    </row>
    <row r="33" spans="1:21">
      <c r="A33" s="7">
        <v>30</v>
      </c>
      <c r="B33" s="8" t="s">
        <v>145</v>
      </c>
      <c r="C33" s="8">
        <v>1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10</v>
      </c>
      <c r="N33" s="8">
        <v>2</v>
      </c>
      <c r="O33" s="8">
        <v>6</v>
      </c>
      <c r="P33" s="8">
        <v>5</v>
      </c>
      <c r="Q33" s="8">
        <v>1</v>
      </c>
      <c r="R33" s="8">
        <v>0</v>
      </c>
      <c r="S33" s="8">
        <v>48</v>
      </c>
      <c r="T33" s="8">
        <v>9</v>
      </c>
      <c r="U33" s="1">
        <f t="shared" si="0"/>
        <v>82</v>
      </c>
    </row>
    <row r="34" spans="1:21">
      <c r="A34" s="4"/>
      <c r="B34" s="5"/>
      <c r="C34" s="8">
        <f>SUM(C4:C33)</f>
        <v>42</v>
      </c>
      <c r="D34" s="8">
        <f t="shared" ref="D34:U34" si="1">SUM(D4:D33)</f>
        <v>0</v>
      </c>
      <c r="E34" s="8">
        <f t="shared" si="1"/>
        <v>0</v>
      </c>
      <c r="F34" s="8">
        <f t="shared" si="1"/>
        <v>0</v>
      </c>
      <c r="G34" s="8">
        <f t="shared" si="1"/>
        <v>0</v>
      </c>
      <c r="H34" s="8">
        <f t="shared" si="1"/>
        <v>0</v>
      </c>
      <c r="I34" s="8">
        <f t="shared" si="1"/>
        <v>3</v>
      </c>
      <c r="J34" s="8">
        <f t="shared" si="1"/>
        <v>0</v>
      </c>
      <c r="K34" s="8">
        <f t="shared" si="1"/>
        <v>0</v>
      </c>
      <c r="L34" s="8">
        <f t="shared" si="1"/>
        <v>0</v>
      </c>
      <c r="M34" s="8">
        <f t="shared" si="1"/>
        <v>139</v>
      </c>
      <c r="N34" s="8">
        <f t="shared" si="1"/>
        <v>4</v>
      </c>
      <c r="O34" s="8">
        <f t="shared" si="1"/>
        <v>340</v>
      </c>
      <c r="P34" s="8">
        <f t="shared" si="1"/>
        <v>23</v>
      </c>
      <c r="Q34" s="8">
        <f t="shared" si="1"/>
        <v>16</v>
      </c>
      <c r="R34" s="8">
        <f t="shared" si="1"/>
        <v>0</v>
      </c>
      <c r="S34" s="8">
        <f t="shared" si="1"/>
        <v>1502</v>
      </c>
      <c r="T34" s="8">
        <f t="shared" si="1"/>
        <v>33</v>
      </c>
      <c r="U34" s="8">
        <f t="shared" si="1"/>
        <v>2102</v>
      </c>
    </row>
    <row r="35" spans="1:21">
      <c r="U35" s="1"/>
    </row>
  </sheetData>
  <mergeCells count="10">
    <mergeCell ref="A1:T1"/>
    <mergeCell ref="C2:D2"/>
    <mergeCell ref="E2:F2"/>
    <mergeCell ref="G2:H2"/>
    <mergeCell ref="I2:J2"/>
    <mergeCell ref="K2:L2"/>
    <mergeCell ref="M2:N2"/>
    <mergeCell ref="O2:P2"/>
    <mergeCell ref="Q2:R2"/>
    <mergeCell ref="S2:T2"/>
  </mergeCells>
  <hyperlinks>
    <hyperlink ref="A2" r:id="rId1" xr:uid="{00000000-0004-0000-0900-000000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34"/>
  <sheetViews>
    <sheetView topLeftCell="A6" workbookViewId="0">
      <selection activeCell="M34" sqref="M34:N34"/>
    </sheetView>
  </sheetViews>
  <sheetFormatPr defaultColWidth="9" defaultRowHeight="15"/>
  <cols>
    <col min="1" max="1" width="4.85546875" customWidth="1"/>
    <col min="2" max="2" width="8.140625" customWidth="1"/>
    <col min="3" max="3" width="4.28515625" customWidth="1"/>
    <col min="4" max="4" width="5.85546875" customWidth="1"/>
    <col min="5" max="5" width="4.28515625" customWidth="1"/>
    <col min="6" max="6" width="5.85546875" customWidth="1"/>
    <col min="7" max="7" width="4.28515625" customWidth="1"/>
    <col min="8" max="8" width="5.85546875" customWidth="1"/>
    <col min="9" max="9" width="4.28515625" customWidth="1"/>
    <col min="10" max="10" width="5.85546875" customWidth="1"/>
    <col min="11" max="11" width="4.28515625" customWidth="1"/>
    <col min="12" max="12" width="5.85546875" customWidth="1"/>
    <col min="13" max="13" width="4.28515625" customWidth="1"/>
    <col min="14" max="14" width="5.85546875" customWidth="1"/>
    <col min="15" max="15" width="4.28515625" customWidth="1"/>
    <col min="16" max="16" width="5.85546875" customWidth="1"/>
    <col min="17" max="17" width="4.28515625" customWidth="1"/>
    <col min="18" max="18" width="5.85546875" customWidth="1"/>
    <col min="19" max="19" width="4.28515625" customWidth="1"/>
    <col min="20" max="20" width="5.85546875" customWidth="1"/>
    <col min="21" max="21" width="4" customWidth="1"/>
  </cols>
  <sheetData>
    <row r="1" spans="1:21" ht="18.75">
      <c r="A1" s="48" t="s">
        <v>146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</row>
    <row r="2" spans="1:21">
      <c r="A2" s="9" t="s">
        <v>1</v>
      </c>
      <c r="B2" s="10" t="s">
        <v>2</v>
      </c>
      <c r="C2" s="49" t="s">
        <v>3</v>
      </c>
      <c r="D2" s="50"/>
      <c r="E2" s="49" t="s">
        <v>4</v>
      </c>
      <c r="F2" s="50"/>
      <c r="G2" s="49" t="s">
        <v>5</v>
      </c>
      <c r="H2" s="50"/>
      <c r="I2" s="49" t="s">
        <v>6</v>
      </c>
      <c r="J2" s="50"/>
      <c r="K2" s="49" t="s">
        <v>7</v>
      </c>
      <c r="L2" s="50"/>
      <c r="M2" s="49" t="s">
        <v>8</v>
      </c>
      <c r="N2" s="50"/>
      <c r="O2" s="49" t="s">
        <v>9</v>
      </c>
      <c r="P2" s="50"/>
      <c r="Q2" s="49" t="s">
        <v>10</v>
      </c>
      <c r="R2" s="50"/>
      <c r="S2" s="49" t="s">
        <v>11</v>
      </c>
      <c r="T2" s="50"/>
    </row>
    <row r="3" spans="1:21">
      <c r="A3" s="11"/>
      <c r="B3" s="12"/>
      <c r="C3" s="13" t="s">
        <v>12</v>
      </c>
      <c r="D3" s="13" t="s">
        <v>13</v>
      </c>
      <c r="E3" s="13" t="s">
        <v>12</v>
      </c>
      <c r="F3" s="13" t="s">
        <v>13</v>
      </c>
      <c r="G3" s="13" t="s">
        <v>12</v>
      </c>
      <c r="H3" s="13" t="s">
        <v>13</v>
      </c>
      <c r="I3" s="13" t="s">
        <v>12</v>
      </c>
      <c r="J3" s="13" t="s">
        <v>13</v>
      </c>
      <c r="K3" s="13" t="s">
        <v>12</v>
      </c>
      <c r="L3" s="13" t="s">
        <v>13</v>
      </c>
      <c r="M3" s="13" t="s">
        <v>12</v>
      </c>
      <c r="N3" s="14" t="s">
        <v>13</v>
      </c>
      <c r="O3" s="14" t="s">
        <v>12</v>
      </c>
      <c r="P3" s="14" t="s">
        <v>13</v>
      </c>
      <c r="Q3" s="13" t="s">
        <v>12</v>
      </c>
      <c r="R3" s="13" t="s">
        <v>13</v>
      </c>
      <c r="S3" s="13" t="s">
        <v>12</v>
      </c>
      <c r="T3" s="13" t="s">
        <v>13</v>
      </c>
    </row>
    <row r="4" spans="1:21">
      <c r="A4" s="15">
        <v>1</v>
      </c>
      <c r="B4" s="8" t="s">
        <v>116</v>
      </c>
      <c r="C4" s="16">
        <v>0</v>
      </c>
      <c r="D4" s="16">
        <v>0</v>
      </c>
      <c r="E4" s="16">
        <v>0</v>
      </c>
      <c r="F4" s="16">
        <v>0</v>
      </c>
      <c r="G4" s="16">
        <v>0</v>
      </c>
      <c r="H4" s="16">
        <v>0</v>
      </c>
      <c r="I4" s="16">
        <v>1</v>
      </c>
      <c r="J4" s="16">
        <v>0</v>
      </c>
      <c r="K4" s="16">
        <v>0</v>
      </c>
      <c r="L4" s="16">
        <v>0</v>
      </c>
      <c r="M4" s="17">
        <v>4</v>
      </c>
      <c r="N4" s="18">
        <v>0</v>
      </c>
      <c r="O4" s="18">
        <v>0</v>
      </c>
      <c r="P4" s="18">
        <v>0</v>
      </c>
      <c r="Q4" s="19">
        <v>8</v>
      </c>
      <c r="R4" s="18">
        <v>0</v>
      </c>
      <c r="S4" s="16">
        <v>7</v>
      </c>
      <c r="T4" s="16">
        <v>0</v>
      </c>
      <c r="U4" s="1">
        <f>SUM(E4:T4)</f>
        <v>20</v>
      </c>
    </row>
    <row r="5" spans="1:21">
      <c r="A5" s="15">
        <v>2</v>
      </c>
      <c r="B5" s="8" t="s">
        <v>117</v>
      </c>
      <c r="C5" s="16">
        <v>0</v>
      </c>
      <c r="D5" s="16">
        <v>0</v>
      </c>
      <c r="E5" s="16">
        <v>0</v>
      </c>
      <c r="F5" s="16">
        <v>0</v>
      </c>
      <c r="G5" s="16">
        <v>0</v>
      </c>
      <c r="H5" s="16">
        <v>0</v>
      </c>
      <c r="I5" s="16">
        <v>0</v>
      </c>
      <c r="J5" s="16">
        <v>0</v>
      </c>
      <c r="K5" s="16">
        <v>0</v>
      </c>
      <c r="L5" s="16">
        <v>0</v>
      </c>
      <c r="M5" s="17">
        <v>5</v>
      </c>
      <c r="N5" s="18">
        <v>0</v>
      </c>
      <c r="O5" s="18">
        <v>0</v>
      </c>
      <c r="P5" s="18">
        <v>0</v>
      </c>
      <c r="Q5" s="19">
        <v>1</v>
      </c>
      <c r="R5" s="18">
        <v>0</v>
      </c>
      <c r="S5" s="16">
        <v>7</v>
      </c>
      <c r="T5" s="16">
        <v>0</v>
      </c>
      <c r="U5" s="1">
        <f t="shared" ref="U5:U33" si="0">SUM(E5:T5)</f>
        <v>13</v>
      </c>
    </row>
    <row r="6" spans="1:21">
      <c r="A6" s="15">
        <v>3</v>
      </c>
      <c r="B6" s="8" t="s">
        <v>118</v>
      </c>
      <c r="C6" s="16">
        <v>0</v>
      </c>
      <c r="D6" s="16">
        <v>0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7">
        <v>4</v>
      </c>
      <c r="N6" s="18">
        <v>0</v>
      </c>
      <c r="O6" s="18">
        <v>0</v>
      </c>
      <c r="P6" s="18">
        <v>0</v>
      </c>
      <c r="Q6" s="19">
        <v>5</v>
      </c>
      <c r="R6" s="18">
        <v>0</v>
      </c>
      <c r="S6" s="16">
        <v>7</v>
      </c>
      <c r="T6" s="16">
        <v>0</v>
      </c>
      <c r="U6" s="1">
        <f t="shared" si="0"/>
        <v>16</v>
      </c>
    </row>
    <row r="7" spans="1:21">
      <c r="A7" s="15">
        <v>4</v>
      </c>
      <c r="B7" s="8" t="s">
        <v>119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7</v>
      </c>
      <c r="N7" s="18">
        <v>7</v>
      </c>
      <c r="O7" s="18">
        <v>0</v>
      </c>
      <c r="P7" s="18">
        <v>0</v>
      </c>
      <c r="Q7" s="16">
        <v>3</v>
      </c>
      <c r="R7" s="18">
        <v>0</v>
      </c>
      <c r="S7" s="16">
        <v>5</v>
      </c>
      <c r="T7" s="16">
        <v>3</v>
      </c>
      <c r="U7" s="1">
        <f t="shared" si="0"/>
        <v>25</v>
      </c>
    </row>
    <row r="8" spans="1:21">
      <c r="A8" s="15">
        <v>5</v>
      </c>
      <c r="B8" s="8" t="s">
        <v>120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">
        <f t="shared" si="0"/>
        <v>0</v>
      </c>
    </row>
    <row r="9" spans="1:21">
      <c r="A9" s="15">
        <v>6</v>
      </c>
      <c r="B9" s="8" t="s">
        <v>121</v>
      </c>
      <c r="C9" s="16">
        <v>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10</v>
      </c>
      <c r="N9" s="16">
        <v>0</v>
      </c>
      <c r="O9" s="16">
        <v>0</v>
      </c>
      <c r="P9" s="16">
        <v>0</v>
      </c>
      <c r="Q9" s="16">
        <v>6</v>
      </c>
      <c r="R9" s="16">
        <v>0</v>
      </c>
      <c r="S9" s="16">
        <v>4</v>
      </c>
      <c r="T9" s="16">
        <v>0</v>
      </c>
      <c r="U9" s="1">
        <f t="shared" si="0"/>
        <v>20</v>
      </c>
    </row>
    <row r="10" spans="1:21">
      <c r="A10" s="15">
        <v>7</v>
      </c>
      <c r="B10" s="8" t="s">
        <v>122</v>
      </c>
      <c r="C10" s="16">
        <v>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9</v>
      </c>
      <c r="N10" s="16">
        <v>4</v>
      </c>
      <c r="O10" s="16">
        <v>0</v>
      </c>
      <c r="P10" s="16">
        <v>3</v>
      </c>
      <c r="Q10" s="16">
        <v>6</v>
      </c>
      <c r="R10" s="16">
        <v>0</v>
      </c>
      <c r="S10" s="16">
        <v>4</v>
      </c>
      <c r="T10" s="16">
        <v>3</v>
      </c>
      <c r="U10" s="1">
        <f t="shared" si="0"/>
        <v>29</v>
      </c>
    </row>
    <row r="11" spans="1:21">
      <c r="A11" s="15">
        <v>8</v>
      </c>
      <c r="B11" s="8" t="s">
        <v>123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6</v>
      </c>
      <c r="N11" s="16">
        <v>7</v>
      </c>
      <c r="O11" s="16">
        <v>1</v>
      </c>
      <c r="P11" s="16">
        <v>0</v>
      </c>
      <c r="Q11" s="16">
        <v>4</v>
      </c>
      <c r="R11" s="16">
        <v>2</v>
      </c>
      <c r="S11" s="16">
        <v>4</v>
      </c>
      <c r="T11" s="16">
        <v>3</v>
      </c>
      <c r="U11" s="1">
        <f t="shared" si="0"/>
        <v>27</v>
      </c>
    </row>
    <row r="12" spans="1:21">
      <c r="A12" s="15">
        <v>9</v>
      </c>
      <c r="B12" s="8" t="s">
        <v>124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5</v>
      </c>
      <c r="N12" s="16">
        <v>2</v>
      </c>
      <c r="O12" s="16">
        <v>0</v>
      </c>
      <c r="P12" s="16">
        <v>0</v>
      </c>
      <c r="Q12" s="16">
        <v>3</v>
      </c>
      <c r="R12" s="16">
        <v>0</v>
      </c>
      <c r="S12" s="16">
        <v>4</v>
      </c>
      <c r="T12" s="16">
        <v>3</v>
      </c>
      <c r="U12" s="1">
        <f t="shared" si="0"/>
        <v>17</v>
      </c>
    </row>
    <row r="13" spans="1:21">
      <c r="A13" s="15">
        <v>10</v>
      </c>
      <c r="B13" s="8" t="s">
        <v>125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4</v>
      </c>
      <c r="N13" s="16">
        <v>7</v>
      </c>
      <c r="O13" s="16">
        <v>0</v>
      </c>
      <c r="P13" s="16">
        <v>1</v>
      </c>
      <c r="Q13" s="16">
        <v>0</v>
      </c>
      <c r="R13" s="16">
        <v>2</v>
      </c>
      <c r="S13" s="16">
        <v>4</v>
      </c>
      <c r="T13" s="16">
        <v>0</v>
      </c>
      <c r="U13" s="1">
        <f t="shared" si="0"/>
        <v>18</v>
      </c>
    </row>
    <row r="14" spans="1:21">
      <c r="A14" s="15">
        <v>11</v>
      </c>
      <c r="B14" s="8" t="s">
        <v>126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3</v>
      </c>
      <c r="N14" s="16">
        <v>0</v>
      </c>
      <c r="O14" s="16">
        <v>0</v>
      </c>
      <c r="P14" s="16">
        <v>0</v>
      </c>
      <c r="Q14" s="16">
        <v>3</v>
      </c>
      <c r="R14" s="16">
        <v>0</v>
      </c>
      <c r="S14" s="16">
        <v>4</v>
      </c>
      <c r="T14" s="16">
        <v>0</v>
      </c>
      <c r="U14" s="1">
        <f t="shared" si="0"/>
        <v>10</v>
      </c>
    </row>
    <row r="15" spans="1:21">
      <c r="A15" s="15">
        <v>12</v>
      </c>
      <c r="B15" s="8" t="s">
        <v>127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>
        <v>2</v>
      </c>
      <c r="P15" s="16"/>
      <c r="Q15" s="16"/>
      <c r="R15" s="16"/>
      <c r="S15" s="16"/>
      <c r="T15" s="16"/>
      <c r="U15" s="1">
        <f t="shared" si="0"/>
        <v>2</v>
      </c>
    </row>
    <row r="16" spans="1:21">
      <c r="A16" s="15">
        <v>13</v>
      </c>
      <c r="B16" s="8" t="s">
        <v>128</v>
      </c>
      <c r="C16" s="16">
        <v>0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8</v>
      </c>
      <c r="N16" s="16">
        <v>5</v>
      </c>
      <c r="O16" s="16">
        <v>0</v>
      </c>
      <c r="P16" s="16">
        <v>0</v>
      </c>
      <c r="Q16" s="16">
        <v>4</v>
      </c>
      <c r="R16" s="16">
        <v>0</v>
      </c>
      <c r="S16" s="16">
        <v>4</v>
      </c>
      <c r="T16" s="16">
        <v>3</v>
      </c>
      <c r="U16" s="1">
        <f t="shared" si="0"/>
        <v>24</v>
      </c>
    </row>
    <row r="17" spans="1:21">
      <c r="A17" s="15">
        <v>14</v>
      </c>
      <c r="B17" s="8" t="s">
        <v>129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3</v>
      </c>
      <c r="J17" s="16">
        <v>0</v>
      </c>
      <c r="K17" s="16">
        <v>0</v>
      </c>
      <c r="L17" s="16">
        <v>0</v>
      </c>
      <c r="M17" s="16">
        <v>5</v>
      </c>
      <c r="N17" s="16">
        <v>5</v>
      </c>
      <c r="O17" s="16">
        <v>0</v>
      </c>
      <c r="P17" s="16">
        <v>0</v>
      </c>
      <c r="Q17" s="16">
        <v>6</v>
      </c>
      <c r="R17" s="16">
        <v>0</v>
      </c>
      <c r="S17" s="16">
        <v>4</v>
      </c>
      <c r="T17" s="16">
        <v>3</v>
      </c>
      <c r="U17" s="1">
        <f t="shared" si="0"/>
        <v>26</v>
      </c>
    </row>
    <row r="18" spans="1:21">
      <c r="A18" s="15">
        <v>15</v>
      </c>
      <c r="B18" s="8" t="s">
        <v>130</v>
      </c>
      <c r="C18" s="16">
        <v>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4</v>
      </c>
      <c r="N18" s="16">
        <v>3</v>
      </c>
      <c r="O18" s="16">
        <v>0</v>
      </c>
      <c r="P18" s="16">
        <v>0</v>
      </c>
      <c r="Q18" s="16">
        <v>5</v>
      </c>
      <c r="R18" s="16">
        <v>0</v>
      </c>
      <c r="S18" s="16">
        <v>4</v>
      </c>
      <c r="T18" s="16">
        <v>3</v>
      </c>
      <c r="U18" s="1">
        <f t="shared" si="0"/>
        <v>19</v>
      </c>
    </row>
    <row r="19" spans="1:21">
      <c r="A19" s="15">
        <v>16</v>
      </c>
      <c r="B19" s="8" t="s">
        <v>131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4</v>
      </c>
      <c r="N19" s="16">
        <v>3</v>
      </c>
      <c r="O19" s="16">
        <v>0</v>
      </c>
      <c r="P19" s="16">
        <v>0</v>
      </c>
      <c r="Q19" s="16">
        <v>4</v>
      </c>
      <c r="R19" s="16">
        <v>0</v>
      </c>
      <c r="S19" s="16">
        <v>4</v>
      </c>
      <c r="T19" s="16">
        <v>3</v>
      </c>
      <c r="U19" s="1">
        <f t="shared" si="0"/>
        <v>18</v>
      </c>
    </row>
    <row r="20" spans="1:21">
      <c r="A20" s="15">
        <v>17</v>
      </c>
      <c r="B20" s="8" t="s">
        <v>132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3</v>
      </c>
      <c r="N20" s="16">
        <v>0</v>
      </c>
      <c r="O20" s="16">
        <v>0</v>
      </c>
      <c r="P20" s="16">
        <v>0</v>
      </c>
      <c r="Q20" s="16">
        <v>6</v>
      </c>
      <c r="R20" s="16">
        <v>0</v>
      </c>
      <c r="S20" s="16">
        <v>2</v>
      </c>
      <c r="T20" s="16">
        <v>2</v>
      </c>
      <c r="U20" s="1">
        <f t="shared" si="0"/>
        <v>13</v>
      </c>
    </row>
    <row r="21" spans="1:21">
      <c r="A21" s="15">
        <v>18</v>
      </c>
      <c r="B21" s="8" t="s">
        <v>133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4</v>
      </c>
      <c r="N21" s="16">
        <v>5</v>
      </c>
      <c r="O21" s="16">
        <v>0</v>
      </c>
      <c r="P21" s="16">
        <v>0</v>
      </c>
      <c r="Q21" s="16">
        <v>6</v>
      </c>
      <c r="R21" s="16">
        <v>0</v>
      </c>
      <c r="S21" s="16">
        <v>2</v>
      </c>
      <c r="T21" s="16">
        <v>3</v>
      </c>
      <c r="U21" s="1">
        <f t="shared" si="0"/>
        <v>20</v>
      </c>
    </row>
    <row r="22" spans="1:21">
      <c r="A22" s="15">
        <v>19</v>
      </c>
      <c r="B22" s="8" t="s">
        <v>134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">
        <f t="shared" si="0"/>
        <v>0</v>
      </c>
    </row>
    <row r="23" spans="1:21">
      <c r="A23" s="15">
        <v>20</v>
      </c>
      <c r="B23" s="8" t="s">
        <v>135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5</v>
      </c>
      <c r="N23" s="16">
        <v>0</v>
      </c>
      <c r="O23" s="16">
        <v>3</v>
      </c>
      <c r="P23" s="16">
        <v>0</v>
      </c>
      <c r="Q23" s="16">
        <v>0</v>
      </c>
      <c r="R23" s="16">
        <v>0</v>
      </c>
      <c r="S23" s="16">
        <v>4</v>
      </c>
      <c r="T23" s="16">
        <v>1</v>
      </c>
      <c r="U23" s="1">
        <f t="shared" si="0"/>
        <v>13</v>
      </c>
    </row>
    <row r="24" spans="1:21">
      <c r="A24" s="15">
        <v>21</v>
      </c>
      <c r="B24" s="8" t="s">
        <v>136</v>
      </c>
      <c r="C24" s="16">
        <v>0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7</v>
      </c>
      <c r="N24" s="16">
        <v>5</v>
      </c>
      <c r="O24" s="16">
        <v>3</v>
      </c>
      <c r="P24" s="16">
        <v>0</v>
      </c>
      <c r="Q24" s="16">
        <v>3</v>
      </c>
      <c r="R24" s="16">
        <v>0</v>
      </c>
      <c r="S24" s="16">
        <v>3</v>
      </c>
      <c r="T24" s="16">
        <v>0</v>
      </c>
      <c r="U24" s="1">
        <f t="shared" si="0"/>
        <v>21</v>
      </c>
    </row>
    <row r="25" spans="1:21">
      <c r="A25" s="15">
        <v>22</v>
      </c>
      <c r="B25" s="8" t="s">
        <v>137</v>
      </c>
      <c r="C25" s="16">
        <v>0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9</v>
      </c>
      <c r="N25" s="16">
        <v>7</v>
      </c>
      <c r="O25" s="16">
        <v>3</v>
      </c>
      <c r="P25" s="16">
        <v>0</v>
      </c>
      <c r="Q25" s="16">
        <v>9</v>
      </c>
      <c r="R25" s="16">
        <v>0</v>
      </c>
      <c r="S25" s="16">
        <v>3</v>
      </c>
      <c r="T25" s="16">
        <v>2</v>
      </c>
      <c r="U25" s="1">
        <f t="shared" si="0"/>
        <v>33</v>
      </c>
    </row>
    <row r="26" spans="1:21">
      <c r="A26" s="15">
        <v>23</v>
      </c>
      <c r="B26" s="8" t="s">
        <v>138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4</v>
      </c>
      <c r="N26" s="16">
        <v>0</v>
      </c>
      <c r="O26" s="16">
        <v>3</v>
      </c>
      <c r="P26" s="16">
        <v>0</v>
      </c>
      <c r="Q26" s="16">
        <v>3</v>
      </c>
      <c r="R26" s="16">
        <v>0</v>
      </c>
      <c r="S26" s="16">
        <v>0</v>
      </c>
      <c r="T26" s="16">
        <v>0</v>
      </c>
      <c r="U26" s="1">
        <f t="shared" si="0"/>
        <v>10</v>
      </c>
    </row>
    <row r="27" spans="1:21">
      <c r="A27" s="15">
        <v>24</v>
      </c>
      <c r="B27" s="8" t="s">
        <v>139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3</v>
      </c>
      <c r="N27" s="16">
        <v>0</v>
      </c>
      <c r="O27" s="16">
        <v>2</v>
      </c>
      <c r="P27" s="16">
        <v>0</v>
      </c>
      <c r="Q27" s="16">
        <v>4</v>
      </c>
      <c r="R27" s="16">
        <v>0</v>
      </c>
      <c r="S27" s="16">
        <v>4</v>
      </c>
      <c r="T27" s="16">
        <v>0</v>
      </c>
      <c r="U27" s="1">
        <f t="shared" si="0"/>
        <v>13</v>
      </c>
    </row>
    <row r="28" spans="1:21">
      <c r="A28" s="15">
        <v>25</v>
      </c>
      <c r="B28" s="8" t="s">
        <v>140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4</v>
      </c>
      <c r="N28" s="16">
        <v>6</v>
      </c>
      <c r="O28" s="16">
        <v>3</v>
      </c>
      <c r="P28" s="16">
        <v>0</v>
      </c>
      <c r="Q28" s="16">
        <v>4</v>
      </c>
      <c r="R28" s="16">
        <v>0</v>
      </c>
      <c r="S28" s="16">
        <v>3</v>
      </c>
      <c r="T28" s="16">
        <v>0</v>
      </c>
      <c r="U28" s="1">
        <f t="shared" si="0"/>
        <v>20</v>
      </c>
    </row>
    <row r="29" spans="1:21">
      <c r="A29" s="15">
        <v>26</v>
      </c>
      <c r="B29" s="8" t="s">
        <v>141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3</v>
      </c>
      <c r="N29" s="16">
        <v>0</v>
      </c>
      <c r="O29" s="16">
        <v>5</v>
      </c>
      <c r="P29" s="16">
        <v>0</v>
      </c>
      <c r="Q29" s="16">
        <v>3</v>
      </c>
      <c r="R29" s="16">
        <v>0</v>
      </c>
      <c r="S29" s="16">
        <v>3</v>
      </c>
      <c r="T29" s="16">
        <v>0</v>
      </c>
      <c r="U29" s="1">
        <f t="shared" si="0"/>
        <v>14</v>
      </c>
    </row>
    <row r="30" spans="1:21">
      <c r="A30" s="15">
        <v>27</v>
      </c>
      <c r="B30" s="8" t="s">
        <v>142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4</v>
      </c>
      <c r="N30" s="16">
        <v>7</v>
      </c>
      <c r="O30" s="16">
        <v>3</v>
      </c>
      <c r="P30" s="16">
        <v>0</v>
      </c>
      <c r="Q30" s="16">
        <v>3</v>
      </c>
      <c r="R30" s="16">
        <v>0</v>
      </c>
      <c r="S30" s="16">
        <v>2</v>
      </c>
      <c r="T30" s="16">
        <v>1</v>
      </c>
      <c r="U30" s="1">
        <f t="shared" si="0"/>
        <v>20</v>
      </c>
    </row>
    <row r="31" spans="1:21">
      <c r="A31" s="15">
        <v>28</v>
      </c>
      <c r="B31" s="8" t="s">
        <v>143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3</v>
      </c>
      <c r="N31" s="16">
        <v>0</v>
      </c>
      <c r="O31" s="16">
        <v>3</v>
      </c>
      <c r="P31" s="16">
        <v>0</v>
      </c>
      <c r="Q31" s="16">
        <v>4</v>
      </c>
      <c r="R31" s="16">
        <v>0</v>
      </c>
      <c r="S31" s="16">
        <v>4</v>
      </c>
      <c r="T31" s="16">
        <v>0</v>
      </c>
      <c r="U31" s="1">
        <f t="shared" si="0"/>
        <v>14</v>
      </c>
    </row>
    <row r="32" spans="1:21">
      <c r="A32" s="15">
        <v>29</v>
      </c>
      <c r="B32" s="8" t="s">
        <v>144</v>
      </c>
      <c r="C32" s="16">
        <v>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3</v>
      </c>
      <c r="N32" s="16">
        <v>0</v>
      </c>
      <c r="O32" s="16">
        <v>2</v>
      </c>
      <c r="P32" s="16">
        <v>0</v>
      </c>
      <c r="Q32" s="16">
        <v>3</v>
      </c>
      <c r="R32" s="16">
        <v>0</v>
      </c>
      <c r="S32" s="16">
        <v>4</v>
      </c>
      <c r="T32" s="16">
        <v>0</v>
      </c>
      <c r="U32" s="1">
        <f t="shared" si="0"/>
        <v>12</v>
      </c>
    </row>
    <row r="33" spans="1:21">
      <c r="A33" s="15">
        <v>30</v>
      </c>
      <c r="B33" s="8" t="s">
        <v>145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4</v>
      </c>
      <c r="N33" s="16">
        <v>8</v>
      </c>
      <c r="O33" s="16">
        <v>1</v>
      </c>
      <c r="P33" s="16">
        <v>0</v>
      </c>
      <c r="Q33" s="16">
        <v>3</v>
      </c>
      <c r="R33" s="16">
        <v>0</v>
      </c>
      <c r="S33" s="16">
        <v>2</v>
      </c>
      <c r="T33" s="16">
        <v>2</v>
      </c>
      <c r="U33" s="1">
        <f t="shared" si="0"/>
        <v>20</v>
      </c>
    </row>
    <row r="34" spans="1:21">
      <c r="A34" s="11"/>
      <c r="B34" s="12"/>
      <c r="C34" s="8">
        <f>SUM(C4:C33)</f>
        <v>0</v>
      </c>
      <c r="D34" s="8">
        <f t="shared" ref="D34:U34" si="1">SUM(D4:D33)</f>
        <v>0</v>
      </c>
      <c r="E34" s="8">
        <f t="shared" si="1"/>
        <v>0</v>
      </c>
      <c r="F34" s="8">
        <f t="shared" si="1"/>
        <v>0</v>
      </c>
      <c r="G34" s="8">
        <f t="shared" si="1"/>
        <v>0</v>
      </c>
      <c r="H34" s="8">
        <f t="shared" si="1"/>
        <v>0</v>
      </c>
      <c r="I34" s="8">
        <f t="shared" si="1"/>
        <v>4</v>
      </c>
      <c r="J34" s="8">
        <f t="shared" si="1"/>
        <v>0</v>
      </c>
      <c r="K34" s="8">
        <f t="shared" si="1"/>
        <v>0</v>
      </c>
      <c r="L34" s="8">
        <f t="shared" si="1"/>
        <v>0</v>
      </c>
      <c r="M34" s="8">
        <f t="shared" si="1"/>
        <v>134</v>
      </c>
      <c r="N34" s="8">
        <f t="shared" si="1"/>
        <v>81</v>
      </c>
      <c r="O34" s="8">
        <f t="shared" si="1"/>
        <v>34</v>
      </c>
      <c r="P34" s="8">
        <f t="shared" si="1"/>
        <v>4</v>
      </c>
      <c r="Q34" s="8">
        <f t="shared" si="1"/>
        <v>109</v>
      </c>
      <c r="R34" s="8">
        <f t="shared" si="1"/>
        <v>4</v>
      </c>
      <c r="S34" s="8">
        <f t="shared" si="1"/>
        <v>102</v>
      </c>
      <c r="T34" s="8">
        <f t="shared" si="1"/>
        <v>35</v>
      </c>
      <c r="U34" s="8">
        <f t="shared" si="1"/>
        <v>507</v>
      </c>
    </row>
  </sheetData>
  <mergeCells count="10">
    <mergeCell ref="A1:T1"/>
    <mergeCell ref="C2:D2"/>
    <mergeCell ref="E2:F2"/>
    <mergeCell ref="G2:H2"/>
    <mergeCell ref="I2:J2"/>
    <mergeCell ref="K2:L2"/>
    <mergeCell ref="M2:N2"/>
    <mergeCell ref="O2:P2"/>
    <mergeCell ref="Q2:R2"/>
    <mergeCell ref="S2:T2"/>
  </mergeCells>
  <hyperlinks>
    <hyperlink ref="A2" r:id="rId1" xr:uid="{00000000-0004-0000-0A00-000000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S40"/>
  <sheetViews>
    <sheetView workbookViewId="0">
      <pane ySplit="1" topLeftCell="A20" activePane="bottomLeft" state="frozen"/>
      <selection pane="bottomLeft" activeCell="V38" sqref="V38"/>
    </sheetView>
  </sheetViews>
  <sheetFormatPr defaultColWidth="9" defaultRowHeight="15"/>
  <cols>
    <col min="1" max="1" width="4.85546875" customWidth="1"/>
    <col min="2" max="2" width="8.140625" customWidth="1"/>
    <col min="3" max="3" width="4.28515625" customWidth="1"/>
    <col min="4" max="4" width="5.85546875" customWidth="1"/>
    <col min="5" max="5" width="4.28515625" customWidth="1"/>
    <col min="6" max="6" width="5.85546875" customWidth="1"/>
    <col min="7" max="7" width="4.28515625" customWidth="1"/>
    <col min="8" max="8" width="5.85546875" customWidth="1"/>
    <col min="9" max="9" width="4.28515625" customWidth="1"/>
    <col min="10" max="10" width="5.85546875" customWidth="1"/>
    <col min="11" max="11" width="4.28515625" customWidth="1"/>
    <col min="12" max="12" width="5.85546875" customWidth="1"/>
    <col min="13" max="13" width="4.28515625" customWidth="1"/>
    <col min="14" max="14" width="5.85546875" customWidth="1"/>
    <col min="15" max="15" width="7.5703125" customWidth="1"/>
    <col min="16" max="16" width="5.85546875" customWidth="1"/>
    <col min="17" max="17" width="5" customWidth="1"/>
    <col min="18" max="18" width="5.85546875" customWidth="1"/>
    <col min="19" max="19" width="5" customWidth="1"/>
  </cols>
  <sheetData>
    <row r="1" spans="1:19" ht="18.75">
      <c r="A1" s="38" t="s">
        <v>147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40"/>
      <c r="S1" s="1"/>
    </row>
    <row r="2" spans="1:19">
      <c r="A2" s="2" t="s">
        <v>1</v>
      </c>
      <c r="B2" s="3" t="s">
        <v>2</v>
      </c>
      <c r="C2" s="41" t="s">
        <v>3</v>
      </c>
      <c r="D2" s="42"/>
      <c r="E2" s="41" t="s">
        <v>4</v>
      </c>
      <c r="F2" s="42"/>
      <c r="G2" s="41" t="s">
        <v>5</v>
      </c>
      <c r="H2" s="42"/>
      <c r="I2" s="41" t="s">
        <v>6</v>
      </c>
      <c r="J2" s="42"/>
      <c r="K2" s="41" t="s">
        <v>7</v>
      </c>
      <c r="L2" s="42"/>
      <c r="M2" s="41" t="s">
        <v>8</v>
      </c>
      <c r="N2" s="42"/>
      <c r="O2" s="41" t="s">
        <v>9</v>
      </c>
      <c r="P2" s="42"/>
      <c r="Q2" s="41" t="s">
        <v>10</v>
      </c>
      <c r="R2" s="42"/>
      <c r="S2" s="1"/>
    </row>
    <row r="3" spans="1:19">
      <c r="A3" s="4"/>
      <c r="B3" s="5"/>
      <c r="C3" s="6" t="s">
        <v>12</v>
      </c>
      <c r="D3" s="6" t="s">
        <v>13</v>
      </c>
      <c r="E3" s="6" t="s">
        <v>12</v>
      </c>
      <c r="F3" s="6" t="s">
        <v>13</v>
      </c>
      <c r="G3" s="6" t="s">
        <v>12</v>
      </c>
      <c r="H3" s="6" t="s">
        <v>13</v>
      </c>
      <c r="I3" s="6" t="s">
        <v>12</v>
      </c>
      <c r="J3" s="6" t="s">
        <v>13</v>
      </c>
      <c r="K3" s="6" t="s">
        <v>12</v>
      </c>
      <c r="L3" s="6" t="s">
        <v>13</v>
      </c>
      <c r="M3" s="6" t="s">
        <v>12</v>
      </c>
      <c r="N3" s="6" t="s">
        <v>13</v>
      </c>
      <c r="O3" s="6" t="s">
        <v>12</v>
      </c>
      <c r="P3" s="6" t="s">
        <v>13</v>
      </c>
      <c r="Q3" s="6" t="s">
        <v>12</v>
      </c>
      <c r="R3" s="6" t="s">
        <v>13</v>
      </c>
      <c r="S3" s="1"/>
    </row>
    <row r="4" spans="1:19">
      <c r="A4" s="7">
        <v>1</v>
      </c>
      <c r="B4" s="8" t="s">
        <v>116</v>
      </c>
      <c r="C4" s="8">
        <v>4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2</v>
      </c>
      <c r="J4" s="8">
        <v>0</v>
      </c>
      <c r="K4" s="8">
        <v>0</v>
      </c>
      <c r="L4" s="8">
        <v>0</v>
      </c>
      <c r="M4" s="8">
        <v>12</v>
      </c>
      <c r="N4" s="8">
        <v>0</v>
      </c>
      <c r="O4" s="8">
        <v>25</v>
      </c>
      <c r="P4" s="8">
        <v>0</v>
      </c>
      <c r="Q4" s="8">
        <v>14</v>
      </c>
      <c r="R4" s="8">
        <v>0</v>
      </c>
      <c r="S4" s="1">
        <f>SUM(C4:R4)</f>
        <v>57</v>
      </c>
    </row>
    <row r="5" spans="1:19">
      <c r="A5" s="7">
        <v>2</v>
      </c>
      <c r="B5" s="8" t="s">
        <v>117</v>
      </c>
      <c r="C5" s="8">
        <v>5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1</v>
      </c>
      <c r="J5" s="8">
        <v>0</v>
      </c>
      <c r="K5" s="8">
        <v>0</v>
      </c>
      <c r="L5" s="8">
        <v>0</v>
      </c>
      <c r="M5" s="8">
        <v>20</v>
      </c>
      <c r="N5" s="8">
        <v>0</v>
      </c>
      <c r="O5" s="8">
        <v>25</v>
      </c>
      <c r="P5" s="8">
        <v>0</v>
      </c>
      <c r="Q5" s="8">
        <v>6</v>
      </c>
      <c r="R5" s="8">
        <v>0</v>
      </c>
      <c r="S5" s="1">
        <f t="shared" ref="S5:S33" si="0">SUM(C5:R5)</f>
        <v>57</v>
      </c>
    </row>
    <row r="6" spans="1:19">
      <c r="A6" s="7">
        <v>3</v>
      </c>
      <c r="B6" s="8" t="s">
        <v>118</v>
      </c>
      <c r="C6" s="8">
        <v>5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1</v>
      </c>
      <c r="J6" s="8">
        <v>0</v>
      </c>
      <c r="K6" s="8">
        <v>0</v>
      </c>
      <c r="L6" s="8">
        <v>0</v>
      </c>
      <c r="M6" s="8">
        <v>16</v>
      </c>
      <c r="N6" s="8">
        <v>0</v>
      </c>
      <c r="O6" s="8">
        <v>33</v>
      </c>
      <c r="P6" s="8">
        <v>0</v>
      </c>
      <c r="Q6" s="8">
        <v>10</v>
      </c>
      <c r="R6" s="8">
        <v>0</v>
      </c>
      <c r="S6" s="1">
        <f t="shared" si="0"/>
        <v>65</v>
      </c>
    </row>
    <row r="7" spans="1:19">
      <c r="A7" s="7">
        <v>4</v>
      </c>
      <c r="B7" s="8" t="s">
        <v>119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10</v>
      </c>
      <c r="N7" s="8">
        <v>7</v>
      </c>
      <c r="O7" s="8">
        <v>23</v>
      </c>
      <c r="P7" s="8">
        <v>0</v>
      </c>
      <c r="Q7" s="8">
        <v>8</v>
      </c>
      <c r="R7" s="8">
        <v>0</v>
      </c>
      <c r="S7" s="1">
        <f t="shared" si="0"/>
        <v>48</v>
      </c>
    </row>
    <row r="8" spans="1:19">
      <c r="A8" s="7">
        <v>5</v>
      </c>
      <c r="B8" s="8" t="s">
        <v>120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1">
        <f t="shared" si="0"/>
        <v>0</v>
      </c>
    </row>
    <row r="9" spans="1:19">
      <c r="A9" s="7">
        <v>6</v>
      </c>
      <c r="B9" s="8" t="s">
        <v>121</v>
      </c>
      <c r="C9" s="8">
        <v>3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16</v>
      </c>
      <c r="N9" s="8">
        <v>0</v>
      </c>
      <c r="O9" s="8">
        <v>24</v>
      </c>
      <c r="P9" s="8">
        <v>0</v>
      </c>
      <c r="Q9" s="8">
        <v>12</v>
      </c>
      <c r="R9" s="8">
        <v>0</v>
      </c>
      <c r="S9" s="1">
        <f t="shared" si="0"/>
        <v>55</v>
      </c>
    </row>
    <row r="10" spans="1:19">
      <c r="A10" s="7">
        <v>7</v>
      </c>
      <c r="B10" s="8" t="s">
        <v>122</v>
      </c>
      <c r="C10" s="8">
        <v>2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12</v>
      </c>
      <c r="N10" s="8">
        <v>4</v>
      </c>
      <c r="O10" s="8">
        <v>32</v>
      </c>
      <c r="P10" s="8">
        <v>3</v>
      </c>
      <c r="Q10" s="8">
        <v>12</v>
      </c>
      <c r="R10" s="8">
        <v>0</v>
      </c>
      <c r="S10" s="1">
        <f t="shared" si="0"/>
        <v>65</v>
      </c>
    </row>
    <row r="11" spans="1:19">
      <c r="A11" s="7">
        <v>8</v>
      </c>
      <c r="B11" s="8" t="s">
        <v>123</v>
      </c>
      <c r="C11" s="8">
        <v>4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8</v>
      </c>
      <c r="N11" s="8">
        <v>7</v>
      </c>
      <c r="O11" s="8">
        <v>24</v>
      </c>
      <c r="P11" s="8">
        <v>1</v>
      </c>
      <c r="Q11" s="8">
        <v>4</v>
      </c>
      <c r="R11" s="8">
        <v>2</v>
      </c>
      <c r="S11" s="1">
        <f t="shared" si="0"/>
        <v>50</v>
      </c>
    </row>
    <row r="12" spans="1:19">
      <c r="A12" s="7">
        <v>9</v>
      </c>
      <c r="B12" s="8" t="s">
        <v>124</v>
      </c>
      <c r="C12" s="8">
        <v>4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10</v>
      </c>
      <c r="N12" s="8">
        <v>4</v>
      </c>
      <c r="O12" s="8">
        <v>28</v>
      </c>
      <c r="P12" s="8">
        <v>0</v>
      </c>
      <c r="Q12" s="8">
        <v>3</v>
      </c>
      <c r="R12" s="8">
        <v>2</v>
      </c>
      <c r="S12" s="1">
        <f t="shared" si="0"/>
        <v>51</v>
      </c>
    </row>
    <row r="13" spans="1:19">
      <c r="A13" s="7">
        <v>10</v>
      </c>
      <c r="B13" s="8" t="s">
        <v>125</v>
      </c>
      <c r="C13" s="8">
        <v>1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8</v>
      </c>
      <c r="N13" s="8">
        <v>7</v>
      </c>
      <c r="O13" s="8">
        <v>27</v>
      </c>
      <c r="P13" s="8">
        <v>1</v>
      </c>
      <c r="Q13" s="8">
        <v>10</v>
      </c>
      <c r="R13" s="8">
        <v>2</v>
      </c>
      <c r="S13" s="1">
        <f t="shared" si="0"/>
        <v>56</v>
      </c>
    </row>
    <row r="14" spans="1:19">
      <c r="A14" s="7">
        <v>11</v>
      </c>
      <c r="B14" s="8" t="s">
        <v>126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13</v>
      </c>
      <c r="N14" s="8">
        <v>4</v>
      </c>
      <c r="O14" s="8">
        <v>29</v>
      </c>
      <c r="P14" s="8">
        <v>0</v>
      </c>
      <c r="Q14" s="8">
        <v>8</v>
      </c>
      <c r="R14" s="8">
        <v>1</v>
      </c>
      <c r="S14" s="1">
        <f t="shared" si="0"/>
        <v>55</v>
      </c>
    </row>
    <row r="15" spans="1:19">
      <c r="A15" s="7">
        <v>12</v>
      </c>
      <c r="B15" s="8" t="s">
        <v>127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>
        <v>2</v>
      </c>
      <c r="P15" s="8"/>
      <c r="Q15" s="8"/>
      <c r="R15" s="8"/>
      <c r="S15" s="1">
        <f t="shared" si="0"/>
        <v>2</v>
      </c>
    </row>
    <row r="16" spans="1:19">
      <c r="A16" s="7">
        <v>13</v>
      </c>
      <c r="B16" s="8" t="s">
        <v>128</v>
      </c>
      <c r="C16" s="8">
        <v>1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15</v>
      </c>
      <c r="N16" s="8">
        <v>5</v>
      </c>
      <c r="O16" s="8">
        <v>29</v>
      </c>
      <c r="P16" s="8">
        <v>0</v>
      </c>
      <c r="Q16" s="8">
        <v>12</v>
      </c>
      <c r="R16" s="8">
        <v>0</v>
      </c>
      <c r="S16" s="1">
        <f t="shared" si="0"/>
        <v>62</v>
      </c>
    </row>
    <row r="17" spans="1:19">
      <c r="A17" s="7">
        <v>14</v>
      </c>
      <c r="B17" s="8" t="s">
        <v>129</v>
      </c>
      <c r="C17" s="8">
        <v>1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3</v>
      </c>
      <c r="K17" s="8">
        <v>0</v>
      </c>
      <c r="L17" s="8">
        <v>0</v>
      </c>
      <c r="M17" s="8">
        <v>15</v>
      </c>
      <c r="N17" s="8">
        <v>5</v>
      </c>
      <c r="O17" s="8">
        <v>29</v>
      </c>
      <c r="P17" s="8">
        <v>0</v>
      </c>
      <c r="Q17" s="8">
        <v>14</v>
      </c>
      <c r="R17" s="8">
        <v>0</v>
      </c>
      <c r="S17" s="1">
        <f t="shared" si="0"/>
        <v>67</v>
      </c>
    </row>
    <row r="18" spans="1:19">
      <c r="A18" s="7">
        <v>15</v>
      </c>
      <c r="B18" s="8" t="s">
        <v>130</v>
      </c>
      <c r="C18" s="8">
        <v>1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13</v>
      </c>
      <c r="N18" s="8">
        <v>3</v>
      </c>
      <c r="O18" s="8">
        <v>21</v>
      </c>
      <c r="P18" s="8">
        <v>0</v>
      </c>
      <c r="Q18" s="8">
        <v>10</v>
      </c>
      <c r="R18" s="8">
        <v>0</v>
      </c>
      <c r="S18" s="1">
        <f t="shared" si="0"/>
        <v>48</v>
      </c>
    </row>
    <row r="19" spans="1:19">
      <c r="A19" s="7">
        <v>16</v>
      </c>
      <c r="B19" s="8" t="s">
        <v>131</v>
      </c>
      <c r="C19" s="8">
        <v>1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16</v>
      </c>
      <c r="N19" s="8">
        <v>3</v>
      </c>
      <c r="O19" s="8">
        <v>22</v>
      </c>
      <c r="P19" s="8">
        <v>0</v>
      </c>
      <c r="Q19" s="8">
        <v>13</v>
      </c>
      <c r="R19" s="8">
        <v>0</v>
      </c>
      <c r="S19" s="1">
        <f t="shared" si="0"/>
        <v>55</v>
      </c>
    </row>
    <row r="20" spans="1:19">
      <c r="A20" s="7">
        <v>17</v>
      </c>
      <c r="B20" s="8" t="s">
        <v>132</v>
      </c>
      <c r="C20" s="8">
        <v>1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13</v>
      </c>
      <c r="N20" s="8">
        <v>6</v>
      </c>
      <c r="O20" s="8">
        <v>21</v>
      </c>
      <c r="P20" s="8">
        <v>0</v>
      </c>
      <c r="Q20" s="8">
        <v>16</v>
      </c>
      <c r="R20" s="8">
        <v>0</v>
      </c>
      <c r="S20" s="1">
        <f t="shared" si="0"/>
        <v>57</v>
      </c>
    </row>
    <row r="21" spans="1:19">
      <c r="A21" s="7">
        <v>18</v>
      </c>
      <c r="B21" s="8" t="s">
        <v>133</v>
      </c>
      <c r="C21" s="8">
        <v>1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6</v>
      </c>
      <c r="N21" s="8">
        <v>5</v>
      </c>
      <c r="O21" s="8">
        <v>13</v>
      </c>
      <c r="P21" s="8">
        <v>0</v>
      </c>
      <c r="Q21" s="8">
        <v>6</v>
      </c>
      <c r="R21" s="8">
        <v>0</v>
      </c>
      <c r="S21" s="1">
        <f t="shared" si="0"/>
        <v>31</v>
      </c>
    </row>
    <row r="22" spans="1:19">
      <c r="A22" s="7">
        <v>19</v>
      </c>
      <c r="B22" s="8" t="s">
        <v>134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1">
        <f t="shared" si="0"/>
        <v>0</v>
      </c>
    </row>
    <row r="23" spans="1:19">
      <c r="A23" s="7">
        <v>20</v>
      </c>
      <c r="B23" s="8" t="s">
        <v>135</v>
      </c>
      <c r="C23" s="8">
        <v>1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7</v>
      </c>
      <c r="N23" s="8">
        <v>5</v>
      </c>
      <c r="O23" s="8">
        <v>27</v>
      </c>
      <c r="P23" s="8">
        <v>0</v>
      </c>
      <c r="Q23" s="8">
        <v>7</v>
      </c>
      <c r="R23" s="8">
        <v>0</v>
      </c>
      <c r="S23" s="1">
        <f t="shared" si="0"/>
        <v>47</v>
      </c>
    </row>
    <row r="24" spans="1:19">
      <c r="A24" s="7">
        <v>21</v>
      </c>
      <c r="B24" s="8" t="s">
        <v>136</v>
      </c>
      <c r="C24" s="8">
        <v>1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13</v>
      </c>
      <c r="N24" s="8">
        <v>6</v>
      </c>
      <c r="O24" s="8">
        <v>27</v>
      </c>
      <c r="P24" s="8">
        <v>0</v>
      </c>
      <c r="Q24" s="8">
        <v>11</v>
      </c>
      <c r="R24" s="8">
        <v>0</v>
      </c>
      <c r="S24" s="1">
        <f t="shared" si="0"/>
        <v>58</v>
      </c>
    </row>
    <row r="25" spans="1:19">
      <c r="A25" s="7">
        <v>22</v>
      </c>
      <c r="B25" s="8" t="s">
        <v>137</v>
      </c>
      <c r="C25" s="8">
        <v>1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11</v>
      </c>
      <c r="N25" s="8">
        <v>7</v>
      </c>
      <c r="O25" s="8">
        <v>26</v>
      </c>
      <c r="P25" s="8">
        <v>0</v>
      </c>
      <c r="Q25" s="8">
        <v>16</v>
      </c>
      <c r="R25" s="8">
        <v>0</v>
      </c>
      <c r="S25" s="1">
        <f t="shared" si="0"/>
        <v>61</v>
      </c>
    </row>
    <row r="26" spans="1:19">
      <c r="A26" s="7">
        <v>23</v>
      </c>
      <c r="B26" s="8" t="s">
        <v>138</v>
      </c>
      <c r="C26" s="8">
        <v>1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7</v>
      </c>
      <c r="N26" s="8">
        <v>0</v>
      </c>
      <c r="O26" s="8">
        <v>24</v>
      </c>
      <c r="P26" s="8">
        <v>0</v>
      </c>
      <c r="Q26" s="8">
        <v>10</v>
      </c>
      <c r="R26" s="8">
        <v>0</v>
      </c>
      <c r="S26" s="1">
        <f t="shared" si="0"/>
        <v>42</v>
      </c>
    </row>
    <row r="27" spans="1:19">
      <c r="A27" s="7">
        <v>24</v>
      </c>
      <c r="B27" s="8" t="s">
        <v>139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7</v>
      </c>
      <c r="N27" s="8">
        <v>0</v>
      </c>
      <c r="O27" s="8">
        <v>26</v>
      </c>
      <c r="P27" s="8">
        <v>0</v>
      </c>
      <c r="Q27" s="8">
        <v>11</v>
      </c>
      <c r="R27" s="8">
        <v>0</v>
      </c>
      <c r="S27" s="1">
        <f t="shared" si="0"/>
        <v>44</v>
      </c>
    </row>
    <row r="28" spans="1:19">
      <c r="A28" s="7">
        <v>25</v>
      </c>
      <c r="B28" s="8" t="s">
        <v>140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12</v>
      </c>
      <c r="N28" s="8">
        <v>6</v>
      </c>
      <c r="O28" s="8">
        <v>30</v>
      </c>
      <c r="P28" s="8">
        <v>11</v>
      </c>
      <c r="Q28" s="8">
        <v>12</v>
      </c>
      <c r="R28" s="8">
        <v>0</v>
      </c>
      <c r="S28" s="1">
        <f t="shared" si="0"/>
        <v>71</v>
      </c>
    </row>
    <row r="29" spans="1:19">
      <c r="A29" s="7">
        <v>26</v>
      </c>
      <c r="B29" s="8" t="s">
        <v>141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4</v>
      </c>
      <c r="N29" s="8">
        <v>0</v>
      </c>
      <c r="O29" s="8">
        <v>11</v>
      </c>
      <c r="P29" s="8">
        <v>0</v>
      </c>
      <c r="Q29" s="8">
        <v>3</v>
      </c>
      <c r="R29" s="8">
        <v>0</v>
      </c>
      <c r="S29" s="1">
        <f t="shared" si="0"/>
        <v>18</v>
      </c>
    </row>
    <row r="30" spans="1:19">
      <c r="A30" s="7">
        <v>27</v>
      </c>
      <c r="B30" s="8" t="s">
        <v>142</v>
      </c>
      <c r="C30" s="8">
        <v>1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11</v>
      </c>
      <c r="N30" s="8">
        <v>7</v>
      </c>
      <c r="O30" s="8">
        <v>27</v>
      </c>
      <c r="P30" s="8">
        <v>0</v>
      </c>
      <c r="Q30" s="8">
        <v>12</v>
      </c>
      <c r="R30" s="8">
        <v>0</v>
      </c>
      <c r="S30" s="1">
        <f t="shared" si="0"/>
        <v>58</v>
      </c>
    </row>
    <row r="31" spans="1:19">
      <c r="A31" s="7">
        <v>28</v>
      </c>
      <c r="B31" s="8" t="s">
        <v>143</v>
      </c>
      <c r="C31" s="8">
        <v>1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7</v>
      </c>
      <c r="N31" s="8">
        <v>0</v>
      </c>
      <c r="O31" s="8">
        <v>26</v>
      </c>
      <c r="P31" s="8">
        <v>3</v>
      </c>
      <c r="Q31" s="8">
        <v>11</v>
      </c>
      <c r="R31" s="8">
        <v>0</v>
      </c>
      <c r="S31" s="1">
        <f t="shared" si="0"/>
        <v>48</v>
      </c>
    </row>
    <row r="32" spans="1:19">
      <c r="A32" s="7">
        <v>29</v>
      </c>
      <c r="B32" s="8" t="s">
        <v>144</v>
      </c>
      <c r="C32" s="8">
        <v>1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12</v>
      </c>
      <c r="N32" s="8">
        <v>0</v>
      </c>
      <c r="O32" s="8">
        <v>20</v>
      </c>
      <c r="P32" s="8">
        <v>4</v>
      </c>
      <c r="Q32" s="8">
        <v>10</v>
      </c>
      <c r="R32" s="8">
        <v>0</v>
      </c>
      <c r="S32" s="1">
        <f t="shared" si="0"/>
        <v>47</v>
      </c>
    </row>
    <row r="33" spans="1:19">
      <c r="A33" s="7">
        <v>30</v>
      </c>
      <c r="B33" s="8" t="s">
        <v>145</v>
      </c>
      <c r="C33" s="8">
        <v>1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14</v>
      </c>
      <c r="N33" s="8">
        <v>8</v>
      </c>
      <c r="O33" s="8">
        <v>21</v>
      </c>
      <c r="P33" s="8">
        <v>5</v>
      </c>
      <c r="Q33" s="8">
        <v>9</v>
      </c>
      <c r="R33" s="8">
        <v>0</v>
      </c>
      <c r="S33" s="1">
        <f t="shared" si="0"/>
        <v>58</v>
      </c>
    </row>
    <row r="34" spans="1:19">
      <c r="A34" s="4"/>
      <c r="B34" s="5"/>
      <c r="C34" s="8">
        <f>SUM(C4:C33)</f>
        <v>42</v>
      </c>
      <c r="D34" s="8">
        <f t="shared" ref="D34:S34" si="1">SUM(D4:D33)</f>
        <v>0</v>
      </c>
      <c r="E34" s="8">
        <f t="shared" si="1"/>
        <v>0</v>
      </c>
      <c r="F34" s="8">
        <f t="shared" si="1"/>
        <v>0</v>
      </c>
      <c r="G34" s="8">
        <f t="shared" si="1"/>
        <v>0</v>
      </c>
      <c r="H34" s="8">
        <f t="shared" si="1"/>
        <v>0</v>
      </c>
      <c r="I34" s="8">
        <f t="shared" si="1"/>
        <v>4</v>
      </c>
      <c r="J34" s="8">
        <f t="shared" si="1"/>
        <v>3</v>
      </c>
      <c r="K34" s="8">
        <f t="shared" si="1"/>
        <v>0</v>
      </c>
      <c r="L34" s="8">
        <f t="shared" si="1"/>
        <v>0</v>
      </c>
      <c r="M34" s="8">
        <f t="shared" si="1"/>
        <v>308</v>
      </c>
      <c r="N34" s="8">
        <f t="shared" si="1"/>
        <v>99</v>
      </c>
      <c r="O34" s="8">
        <f t="shared" si="1"/>
        <v>672</v>
      </c>
      <c r="P34" s="8">
        <f t="shared" si="1"/>
        <v>28</v>
      </c>
      <c r="Q34" s="8">
        <f t="shared" si="1"/>
        <v>270</v>
      </c>
      <c r="R34" s="8">
        <f t="shared" si="1"/>
        <v>7</v>
      </c>
      <c r="S34" s="8">
        <f t="shared" si="1"/>
        <v>1433</v>
      </c>
    </row>
    <row r="38" spans="1:19">
      <c r="O38">
        <f>670*650</f>
        <v>435500</v>
      </c>
    </row>
    <row r="39" spans="1:19">
      <c r="O39">
        <f>600*670</f>
        <v>402000</v>
      </c>
    </row>
    <row r="40" spans="1:19">
      <c r="O40">
        <f>O38-O39</f>
        <v>33500</v>
      </c>
    </row>
  </sheetData>
  <mergeCells count="9">
    <mergeCell ref="A1:R1"/>
    <mergeCell ref="C2:D2"/>
    <mergeCell ref="E2:F2"/>
    <mergeCell ref="G2:H2"/>
    <mergeCell ref="I2:J2"/>
    <mergeCell ref="K2:L2"/>
    <mergeCell ref="M2:N2"/>
    <mergeCell ref="O2:P2"/>
    <mergeCell ref="Q2:R2"/>
  </mergeCells>
  <hyperlinks>
    <hyperlink ref="A2" r:id="rId1" xr:uid="{00000000-0004-0000-0B00-00000000000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U35"/>
  <sheetViews>
    <sheetView topLeftCell="A18" workbookViewId="0">
      <selection sqref="A1:U36"/>
    </sheetView>
  </sheetViews>
  <sheetFormatPr defaultColWidth="9.140625" defaultRowHeight="15" customHeight="1"/>
  <cols>
    <col min="1" max="1" width="4.5703125" customWidth="1"/>
    <col min="2" max="2" width="7.85546875" customWidth="1"/>
    <col min="3" max="3" width="4" customWidth="1"/>
    <col min="4" max="4" width="5.5703125" customWidth="1"/>
    <col min="5" max="5" width="4" customWidth="1"/>
    <col min="6" max="6" width="5.5703125" customWidth="1"/>
    <col min="7" max="7" width="4" customWidth="1"/>
    <col min="8" max="8" width="5.5703125" customWidth="1"/>
    <col min="9" max="9" width="4" customWidth="1"/>
    <col min="10" max="10" width="5.5703125" customWidth="1"/>
    <col min="11" max="11" width="4" customWidth="1"/>
    <col min="12" max="12" width="5.5703125" customWidth="1"/>
    <col min="13" max="13" width="4.5703125" customWidth="1"/>
    <col min="14" max="14" width="5.5703125" customWidth="1"/>
    <col min="15" max="15" width="4.5703125" customWidth="1"/>
    <col min="16" max="16" width="5.5703125" customWidth="1"/>
    <col min="17" max="17" width="4" customWidth="1"/>
    <col min="18" max="20" width="5.5703125" customWidth="1"/>
    <col min="21" max="21" width="6.28515625" customWidth="1"/>
  </cols>
  <sheetData>
    <row r="1" spans="1:21" ht="15" customHeight="1">
      <c r="A1" s="43" t="s">
        <v>148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1"/>
    </row>
    <row r="2" spans="1:21" ht="15" customHeight="1">
      <c r="A2" s="20" t="s">
        <v>1</v>
      </c>
      <c r="B2" s="21" t="s">
        <v>2</v>
      </c>
      <c r="C2" s="44" t="s">
        <v>3</v>
      </c>
      <c r="D2" s="45"/>
      <c r="E2" s="44" t="s">
        <v>4</v>
      </c>
      <c r="F2" s="45"/>
      <c r="G2" s="41" t="s">
        <v>149</v>
      </c>
      <c r="H2" s="42"/>
      <c r="I2" s="44" t="s">
        <v>6</v>
      </c>
      <c r="J2" s="45"/>
      <c r="K2" s="44" t="s">
        <v>7</v>
      </c>
      <c r="L2" s="45"/>
      <c r="M2" s="44" t="s">
        <v>8</v>
      </c>
      <c r="N2" s="45"/>
      <c r="O2" s="44" t="s">
        <v>9</v>
      </c>
      <c r="P2" s="45"/>
      <c r="Q2" s="44" t="s">
        <v>10</v>
      </c>
      <c r="R2" s="45"/>
      <c r="S2" s="44" t="s">
        <v>11</v>
      </c>
      <c r="T2" s="45"/>
      <c r="U2" s="1" t="s">
        <v>80</v>
      </c>
    </row>
    <row r="3" spans="1:21" ht="15" customHeight="1">
      <c r="A3" s="4"/>
      <c r="B3" s="5"/>
      <c r="C3" s="6" t="s">
        <v>12</v>
      </c>
      <c r="D3" s="6" t="s">
        <v>13</v>
      </c>
      <c r="E3" s="6" t="s">
        <v>12</v>
      </c>
      <c r="F3" s="6" t="s">
        <v>13</v>
      </c>
      <c r="G3" s="6" t="s">
        <v>12</v>
      </c>
      <c r="H3" s="6" t="s">
        <v>13</v>
      </c>
      <c r="I3" s="6" t="s">
        <v>12</v>
      </c>
      <c r="J3" s="6" t="s">
        <v>13</v>
      </c>
      <c r="K3" s="6" t="s">
        <v>12</v>
      </c>
      <c r="L3" s="6" t="s">
        <v>13</v>
      </c>
      <c r="M3" s="6" t="s">
        <v>12</v>
      </c>
      <c r="N3" s="6" t="s">
        <v>13</v>
      </c>
      <c r="O3" s="6" t="s">
        <v>12</v>
      </c>
      <c r="P3" s="6" t="s">
        <v>13</v>
      </c>
      <c r="Q3" s="6" t="s">
        <v>12</v>
      </c>
      <c r="R3" s="6" t="s">
        <v>13</v>
      </c>
      <c r="S3" s="6" t="s">
        <v>12</v>
      </c>
      <c r="T3" s="6" t="s">
        <v>13</v>
      </c>
      <c r="U3" s="1"/>
    </row>
    <row r="4" spans="1:21" ht="15" customHeight="1">
      <c r="A4" s="7">
        <v>1</v>
      </c>
      <c r="B4" s="8" t="s">
        <v>150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1">
        <f t="shared" ref="U4:U22" si="0">SUM(C4:T4)</f>
        <v>0</v>
      </c>
    </row>
    <row r="5" spans="1:21" ht="15" customHeight="1">
      <c r="A5" s="7">
        <v>2</v>
      </c>
      <c r="B5" s="8" t="s">
        <v>151</v>
      </c>
      <c r="C5" s="8">
        <v>1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8</v>
      </c>
      <c r="N5" s="8">
        <v>0</v>
      </c>
      <c r="O5" s="8">
        <v>7</v>
      </c>
      <c r="P5" s="8">
        <v>0</v>
      </c>
      <c r="Q5" s="8">
        <v>1</v>
      </c>
      <c r="R5" s="8">
        <v>0</v>
      </c>
      <c r="S5" s="8">
        <v>60</v>
      </c>
      <c r="T5" s="8">
        <v>0</v>
      </c>
      <c r="U5" s="1">
        <f t="shared" si="0"/>
        <v>77</v>
      </c>
    </row>
    <row r="6" spans="1:21" ht="15" customHeight="1">
      <c r="A6" s="7">
        <v>3</v>
      </c>
      <c r="B6" s="8" t="s">
        <v>152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>
        <v>0</v>
      </c>
      <c r="U6" s="1">
        <f t="shared" si="0"/>
        <v>0</v>
      </c>
    </row>
    <row r="7" spans="1:21" ht="15" customHeight="1">
      <c r="A7" s="7">
        <v>4</v>
      </c>
      <c r="B7" s="8" t="s">
        <v>153</v>
      </c>
      <c r="C7" s="8">
        <v>1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9</v>
      </c>
      <c r="N7" s="8">
        <v>0</v>
      </c>
      <c r="O7" s="8">
        <v>9</v>
      </c>
      <c r="P7" s="8">
        <v>0</v>
      </c>
      <c r="Q7" s="8">
        <v>1</v>
      </c>
      <c r="R7" s="8">
        <v>0</v>
      </c>
      <c r="S7" s="8">
        <v>57</v>
      </c>
      <c r="T7" s="8">
        <v>0</v>
      </c>
      <c r="U7" s="1">
        <f t="shared" si="0"/>
        <v>77</v>
      </c>
    </row>
    <row r="8" spans="1:21" ht="15" customHeight="1">
      <c r="A8" s="7">
        <v>5</v>
      </c>
      <c r="B8" s="8" t="s">
        <v>154</v>
      </c>
      <c r="C8" s="8">
        <v>1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8</v>
      </c>
      <c r="N8" s="8">
        <v>0</v>
      </c>
      <c r="O8" s="8">
        <v>9</v>
      </c>
      <c r="P8" s="8">
        <v>0</v>
      </c>
      <c r="Q8" s="8">
        <v>1</v>
      </c>
      <c r="R8" s="8">
        <v>0</v>
      </c>
      <c r="S8" s="8">
        <v>58</v>
      </c>
      <c r="T8" s="8">
        <v>0</v>
      </c>
      <c r="U8" s="1">
        <f t="shared" si="0"/>
        <v>77</v>
      </c>
    </row>
    <row r="9" spans="1:21" ht="15" customHeight="1">
      <c r="A9" s="7">
        <v>6</v>
      </c>
      <c r="B9" s="8" t="s">
        <v>155</v>
      </c>
      <c r="C9" s="8">
        <v>1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8</v>
      </c>
      <c r="N9" s="8">
        <v>0</v>
      </c>
      <c r="O9" s="8">
        <v>10</v>
      </c>
      <c r="P9" s="8">
        <v>0</v>
      </c>
      <c r="Q9" s="8">
        <v>1</v>
      </c>
      <c r="R9" s="8">
        <v>0</v>
      </c>
      <c r="S9" s="8">
        <v>54</v>
      </c>
      <c r="T9" s="8">
        <v>0</v>
      </c>
      <c r="U9" s="1">
        <f t="shared" si="0"/>
        <v>74</v>
      </c>
    </row>
    <row r="10" spans="1:21" ht="15" customHeight="1">
      <c r="A10" s="7">
        <v>7</v>
      </c>
      <c r="B10" s="8" t="s">
        <v>156</v>
      </c>
      <c r="C10" s="8">
        <v>1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8</v>
      </c>
      <c r="N10" s="8">
        <v>0</v>
      </c>
      <c r="O10" s="8">
        <v>9</v>
      </c>
      <c r="P10" s="8">
        <v>0</v>
      </c>
      <c r="Q10" s="8">
        <v>1</v>
      </c>
      <c r="R10" s="8">
        <v>0</v>
      </c>
      <c r="S10" s="8">
        <v>57</v>
      </c>
      <c r="T10" s="8">
        <v>0</v>
      </c>
      <c r="U10" s="1">
        <f t="shared" si="0"/>
        <v>76</v>
      </c>
    </row>
    <row r="11" spans="1:21" ht="15" customHeight="1">
      <c r="A11" s="7">
        <v>8</v>
      </c>
      <c r="B11" s="8" t="s">
        <v>157</v>
      </c>
      <c r="C11" s="8">
        <v>1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9</v>
      </c>
      <c r="N11" s="8">
        <v>0</v>
      </c>
      <c r="O11" s="8">
        <v>8</v>
      </c>
      <c r="P11" s="8">
        <v>0</v>
      </c>
      <c r="Q11" s="8">
        <v>1</v>
      </c>
      <c r="R11" s="8">
        <v>0</v>
      </c>
      <c r="S11" s="8">
        <v>51</v>
      </c>
      <c r="T11" s="8">
        <v>0</v>
      </c>
      <c r="U11" s="1">
        <f t="shared" si="0"/>
        <v>70</v>
      </c>
    </row>
    <row r="12" spans="1:21" ht="15" customHeight="1">
      <c r="A12" s="7">
        <v>9</v>
      </c>
      <c r="B12" s="8" t="s">
        <v>158</v>
      </c>
      <c r="C12" s="8">
        <v>1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8</v>
      </c>
      <c r="N12" s="8">
        <v>0</v>
      </c>
      <c r="O12" s="8">
        <v>10</v>
      </c>
      <c r="P12" s="8">
        <v>0</v>
      </c>
      <c r="Q12" s="8">
        <v>0</v>
      </c>
      <c r="R12" s="8">
        <v>0</v>
      </c>
      <c r="S12" s="8">
        <v>56</v>
      </c>
      <c r="T12" s="8">
        <v>0</v>
      </c>
      <c r="U12" s="1">
        <f t="shared" si="0"/>
        <v>75</v>
      </c>
    </row>
    <row r="13" spans="1:21" ht="15" customHeight="1">
      <c r="A13" s="7">
        <v>10</v>
      </c>
      <c r="B13" s="8" t="s">
        <v>159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>
        <v>0</v>
      </c>
      <c r="U13" s="1">
        <f t="shared" si="0"/>
        <v>0</v>
      </c>
    </row>
    <row r="14" spans="1:21" ht="15" customHeight="1">
      <c r="A14" s="7">
        <v>11</v>
      </c>
      <c r="B14" s="8" t="s">
        <v>160</v>
      </c>
      <c r="C14" s="8">
        <v>1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9</v>
      </c>
      <c r="N14" s="8">
        <v>0</v>
      </c>
      <c r="O14" s="8">
        <v>11</v>
      </c>
      <c r="P14" s="8">
        <v>0</v>
      </c>
      <c r="Q14" s="8">
        <v>0</v>
      </c>
      <c r="R14" s="8">
        <v>0</v>
      </c>
      <c r="S14" s="8">
        <v>41</v>
      </c>
      <c r="T14" s="8">
        <v>0</v>
      </c>
      <c r="U14" s="1">
        <f t="shared" si="0"/>
        <v>62</v>
      </c>
    </row>
    <row r="15" spans="1:21" ht="15" customHeight="1">
      <c r="A15" s="7">
        <v>12</v>
      </c>
      <c r="B15" s="8" t="s">
        <v>161</v>
      </c>
      <c r="C15" s="8">
        <v>1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9</v>
      </c>
      <c r="N15" s="8">
        <v>0</v>
      </c>
      <c r="O15" s="8">
        <v>11</v>
      </c>
      <c r="P15" s="8">
        <v>0</v>
      </c>
      <c r="Q15" s="8">
        <v>2</v>
      </c>
      <c r="R15" s="8">
        <v>0</v>
      </c>
      <c r="S15" s="8">
        <v>47</v>
      </c>
      <c r="T15" s="8">
        <v>0</v>
      </c>
      <c r="U15" s="1">
        <f t="shared" si="0"/>
        <v>70</v>
      </c>
    </row>
    <row r="16" spans="1:21" ht="15" customHeight="1">
      <c r="A16" s="7">
        <v>13</v>
      </c>
      <c r="B16" s="8" t="s">
        <v>162</v>
      </c>
      <c r="C16" s="8">
        <v>1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10</v>
      </c>
      <c r="N16" s="8">
        <v>0</v>
      </c>
      <c r="O16" s="8">
        <v>10</v>
      </c>
      <c r="P16" s="8">
        <v>0</v>
      </c>
      <c r="Q16" s="8">
        <v>3</v>
      </c>
      <c r="R16" s="8">
        <v>0</v>
      </c>
      <c r="S16" s="8">
        <v>46</v>
      </c>
      <c r="T16" s="8">
        <v>0</v>
      </c>
      <c r="U16" s="1">
        <f t="shared" si="0"/>
        <v>70</v>
      </c>
    </row>
    <row r="17" spans="1:21" ht="15" customHeight="1">
      <c r="A17" s="7">
        <v>14</v>
      </c>
      <c r="B17" s="8" t="s">
        <v>163</v>
      </c>
      <c r="C17" s="8">
        <v>1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13</v>
      </c>
      <c r="N17" s="8">
        <v>0</v>
      </c>
      <c r="O17" s="8">
        <v>11</v>
      </c>
      <c r="P17" s="8">
        <v>0</v>
      </c>
      <c r="Q17" s="8">
        <v>5</v>
      </c>
      <c r="R17" s="8">
        <v>0</v>
      </c>
      <c r="S17" s="8">
        <v>47</v>
      </c>
      <c r="T17" s="8">
        <v>0</v>
      </c>
      <c r="U17" s="1">
        <f t="shared" si="0"/>
        <v>77</v>
      </c>
    </row>
    <row r="18" spans="1:21" ht="15" customHeight="1">
      <c r="A18" s="7">
        <v>15</v>
      </c>
      <c r="B18" s="8" t="s">
        <v>164</v>
      </c>
      <c r="C18" s="8">
        <v>1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13</v>
      </c>
      <c r="N18" s="8">
        <v>0</v>
      </c>
      <c r="O18" s="8">
        <v>11</v>
      </c>
      <c r="P18" s="8">
        <v>0</v>
      </c>
      <c r="Q18" s="8">
        <v>4</v>
      </c>
      <c r="R18" s="8">
        <v>0</v>
      </c>
      <c r="S18" s="8">
        <v>54</v>
      </c>
      <c r="T18" s="8">
        <v>0</v>
      </c>
      <c r="U18" s="1">
        <f t="shared" si="0"/>
        <v>83</v>
      </c>
    </row>
    <row r="19" spans="1:21" ht="15" customHeight="1">
      <c r="A19" s="7">
        <v>16</v>
      </c>
      <c r="B19" s="8" t="s">
        <v>165</v>
      </c>
      <c r="C19" s="8">
        <v>1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12</v>
      </c>
      <c r="N19" s="8">
        <v>0</v>
      </c>
      <c r="O19" s="8">
        <v>11</v>
      </c>
      <c r="P19" s="8">
        <v>6</v>
      </c>
      <c r="Q19" s="8">
        <v>3</v>
      </c>
      <c r="R19" s="8">
        <v>0</v>
      </c>
      <c r="S19" s="8">
        <v>53</v>
      </c>
      <c r="T19" s="8">
        <v>0</v>
      </c>
      <c r="U19" s="1">
        <f t="shared" si="0"/>
        <v>86</v>
      </c>
    </row>
    <row r="20" spans="1:21" ht="15" customHeight="1">
      <c r="A20" s="7">
        <v>17</v>
      </c>
      <c r="B20" s="8" t="s">
        <v>166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>
        <v>0</v>
      </c>
      <c r="U20" s="1">
        <f t="shared" si="0"/>
        <v>0</v>
      </c>
    </row>
    <row r="21" spans="1:21" ht="15" customHeight="1">
      <c r="A21" s="7">
        <v>18</v>
      </c>
      <c r="B21" s="8" t="s">
        <v>167</v>
      </c>
      <c r="C21" s="8">
        <v>1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15</v>
      </c>
      <c r="N21" s="8">
        <v>0</v>
      </c>
      <c r="O21" s="8">
        <v>11</v>
      </c>
      <c r="P21" s="8">
        <v>0</v>
      </c>
      <c r="Q21" s="8">
        <v>6</v>
      </c>
      <c r="R21" s="8">
        <v>0</v>
      </c>
      <c r="S21" s="8">
        <v>51</v>
      </c>
      <c r="T21" s="8">
        <v>0</v>
      </c>
      <c r="U21" s="1">
        <f t="shared" si="0"/>
        <v>84</v>
      </c>
    </row>
    <row r="22" spans="1:21" ht="15" customHeight="1">
      <c r="A22" s="7">
        <v>19</v>
      </c>
      <c r="B22" s="8" t="s">
        <v>168</v>
      </c>
      <c r="C22" s="8">
        <v>1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13</v>
      </c>
      <c r="N22" s="8">
        <v>0</v>
      </c>
      <c r="O22" s="8">
        <v>9</v>
      </c>
      <c r="P22" s="8">
        <v>0</v>
      </c>
      <c r="Q22" s="8">
        <v>7</v>
      </c>
      <c r="R22" s="8">
        <v>0</v>
      </c>
      <c r="S22" s="8">
        <v>56</v>
      </c>
      <c r="T22" s="8">
        <v>0</v>
      </c>
      <c r="U22" s="1">
        <f t="shared" si="0"/>
        <v>86</v>
      </c>
    </row>
    <row r="23" spans="1:21" ht="15" customHeight="1">
      <c r="A23" s="7">
        <v>20</v>
      </c>
      <c r="B23" s="8" t="s">
        <v>169</v>
      </c>
      <c r="C23" s="8">
        <v>1</v>
      </c>
      <c r="D23" s="8">
        <v>0</v>
      </c>
      <c r="E23" s="8">
        <v>0</v>
      </c>
      <c r="F23" s="8">
        <v>0</v>
      </c>
      <c r="G23" s="8">
        <v>3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11</v>
      </c>
      <c r="N23" s="8">
        <v>0</v>
      </c>
      <c r="O23" s="8">
        <v>10</v>
      </c>
      <c r="P23" s="8">
        <v>0</v>
      </c>
      <c r="Q23" s="8">
        <v>8</v>
      </c>
      <c r="R23" s="8">
        <v>0</v>
      </c>
      <c r="S23" s="8">
        <v>58</v>
      </c>
      <c r="T23" s="8">
        <v>0</v>
      </c>
      <c r="U23" s="1">
        <f t="shared" ref="U23:U34" si="1">SUM(C23:T23)</f>
        <v>91</v>
      </c>
    </row>
    <row r="24" spans="1:21" ht="15" customHeight="1">
      <c r="A24" s="7">
        <v>21</v>
      </c>
      <c r="B24" s="8" t="s">
        <v>170</v>
      </c>
      <c r="C24" s="8">
        <v>1</v>
      </c>
      <c r="D24" s="8">
        <v>0</v>
      </c>
      <c r="E24" s="8">
        <v>0</v>
      </c>
      <c r="F24" s="8">
        <v>0</v>
      </c>
      <c r="G24" s="8">
        <v>2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17</v>
      </c>
      <c r="N24" s="8">
        <v>0</v>
      </c>
      <c r="O24" s="8">
        <v>10</v>
      </c>
      <c r="P24" s="8">
        <v>0</v>
      </c>
      <c r="Q24" s="8">
        <v>8</v>
      </c>
      <c r="R24" s="8">
        <v>0</v>
      </c>
      <c r="S24" s="8">
        <v>54</v>
      </c>
      <c r="T24" s="8">
        <v>0</v>
      </c>
      <c r="U24" s="1">
        <f t="shared" si="1"/>
        <v>92</v>
      </c>
    </row>
    <row r="25" spans="1:21" ht="15" customHeight="1">
      <c r="A25" s="7">
        <v>22</v>
      </c>
      <c r="B25" s="8" t="s">
        <v>171</v>
      </c>
      <c r="C25" s="8">
        <v>1</v>
      </c>
      <c r="D25" s="8">
        <v>0</v>
      </c>
      <c r="E25" s="8">
        <v>0</v>
      </c>
      <c r="F25" s="8">
        <v>0</v>
      </c>
      <c r="G25" s="8">
        <v>2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19</v>
      </c>
      <c r="N25" s="8">
        <v>0</v>
      </c>
      <c r="O25" s="8">
        <v>10</v>
      </c>
      <c r="P25" s="8">
        <v>0</v>
      </c>
      <c r="Q25" s="8">
        <v>7</v>
      </c>
      <c r="R25" s="8">
        <v>0</v>
      </c>
      <c r="S25" s="8">
        <v>56</v>
      </c>
      <c r="T25" s="8">
        <v>0</v>
      </c>
      <c r="U25" s="1">
        <f t="shared" si="1"/>
        <v>95</v>
      </c>
    </row>
    <row r="26" spans="1:21" ht="15" customHeight="1">
      <c r="A26" s="7">
        <v>23</v>
      </c>
      <c r="B26" s="8" t="s">
        <v>172</v>
      </c>
      <c r="C26" s="8">
        <v>1</v>
      </c>
      <c r="D26" s="8">
        <v>0</v>
      </c>
      <c r="E26" s="8">
        <v>0</v>
      </c>
      <c r="F26" s="8">
        <v>0</v>
      </c>
      <c r="G26" s="8">
        <v>2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16</v>
      </c>
      <c r="N26" s="8">
        <v>0</v>
      </c>
      <c r="O26" s="8">
        <v>11</v>
      </c>
      <c r="P26" s="8">
        <v>0</v>
      </c>
      <c r="Q26" s="8">
        <v>8</v>
      </c>
      <c r="R26" s="8">
        <v>0</v>
      </c>
      <c r="S26" s="8">
        <v>55</v>
      </c>
      <c r="T26" s="8">
        <v>0</v>
      </c>
      <c r="U26" s="1">
        <f t="shared" si="1"/>
        <v>93</v>
      </c>
    </row>
    <row r="27" spans="1:21" ht="15" customHeight="1">
      <c r="A27" s="7">
        <v>24</v>
      </c>
      <c r="B27" s="8" t="s">
        <v>173</v>
      </c>
      <c r="C27" s="8">
        <v>1</v>
      </c>
      <c r="D27" s="8">
        <v>0</v>
      </c>
      <c r="E27" s="8">
        <v>0</v>
      </c>
      <c r="F27" s="8">
        <v>0</v>
      </c>
      <c r="G27" s="8">
        <v>2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16</v>
      </c>
      <c r="N27" s="8">
        <v>0</v>
      </c>
      <c r="O27" s="8">
        <v>6</v>
      </c>
      <c r="P27" s="8">
        <v>0</v>
      </c>
      <c r="Q27" s="8">
        <v>5</v>
      </c>
      <c r="R27" s="8">
        <v>0</v>
      </c>
      <c r="S27" s="8">
        <v>46</v>
      </c>
      <c r="T27" s="8">
        <v>0</v>
      </c>
      <c r="U27" s="1">
        <f t="shared" si="1"/>
        <v>76</v>
      </c>
    </row>
    <row r="28" spans="1:21" ht="15" customHeight="1">
      <c r="A28" s="7">
        <v>25</v>
      </c>
      <c r="B28" s="8" t="s">
        <v>174</v>
      </c>
      <c r="C28" s="8">
        <v>1</v>
      </c>
      <c r="D28" s="8">
        <v>0</v>
      </c>
      <c r="E28" s="8">
        <v>0</v>
      </c>
      <c r="F28" s="8">
        <v>0</v>
      </c>
      <c r="G28" s="8">
        <v>3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17</v>
      </c>
      <c r="N28" s="8">
        <v>0</v>
      </c>
      <c r="O28" s="8">
        <v>11</v>
      </c>
      <c r="P28" s="8">
        <v>0</v>
      </c>
      <c r="Q28" s="8">
        <v>9</v>
      </c>
      <c r="R28" s="8">
        <v>0</v>
      </c>
      <c r="S28" s="8">
        <v>56</v>
      </c>
      <c r="T28" s="8">
        <v>0</v>
      </c>
      <c r="U28" s="1">
        <f t="shared" si="1"/>
        <v>97</v>
      </c>
    </row>
    <row r="29" spans="1:21" ht="15" customHeight="1">
      <c r="A29" s="7">
        <v>26</v>
      </c>
      <c r="B29" s="8" t="s">
        <v>175</v>
      </c>
      <c r="C29" s="8">
        <v>1</v>
      </c>
      <c r="D29" s="8">
        <v>0</v>
      </c>
      <c r="E29" s="8">
        <v>0</v>
      </c>
      <c r="F29" s="8">
        <v>0</v>
      </c>
      <c r="G29" s="8">
        <v>3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12</v>
      </c>
      <c r="N29" s="8">
        <v>0</v>
      </c>
      <c r="O29" s="8">
        <v>13</v>
      </c>
      <c r="P29" s="8">
        <v>0</v>
      </c>
      <c r="Q29" s="8">
        <v>7</v>
      </c>
      <c r="R29" s="8">
        <v>0</v>
      </c>
      <c r="S29" s="8">
        <v>58</v>
      </c>
      <c r="T29" s="8">
        <v>6</v>
      </c>
      <c r="U29" s="1">
        <f t="shared" si="1"/>
        <v>100</v>
      </c>
    </row>
    <row r="30" spans="1:21" ht="15" customHeight="1">
      <c r="A30" s="7">
        <v>27</v>
      </c>
      <c r="B30" s="8" t="s">
        <v>176</v>
      </c>
      <c r="C30" s="8">
        <v>1</v>
      </c>
      <c r="D30" s="8">
        <v>0</v>
      </c>
      <c r="E30" s="8">
        <v>0</v>
      </c>
      <c r="F30" s="8">
        <v>0</v>
      </c>
      <c r="G30" s="8">
        <v>2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12</v>
      </c>
      <c r="N30" s="8">
        <v>0</v>
      </c>
      <c r="O30" s="8">
        <v>13</v>
      </c>
      <c r="P30" s="8">
        <v>0</v>
      </c>
      <c r="Q30" s="8">
        <v>5</v>
      </c>
      <c r="R30" s="8">
        <v>0</v>
      </c>
      <c r="S30" s="8">
        <v>62</v>
      </c>
      <c r="T30" s="8">
        <v>0</v>
      </c>
      <c r="U30" s="1">
        <f t="shared" si="1"/>
        <v>95</v>
      </c>
    </row>
    <row r="31" spans="1:21" ht="15" customHeight="1">
      <c r="A31" s="7">
        <v>28</v>
      </c>
      <c r="B31" s="8" t="s">
        <v>177</v>
      </c>
      <c r="C31" s="8">
        <v>1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8</v>
      </c>
      <c r="N31" s="8">
        <v>0</v>
      </c>
      <c r="O31" s="8">
        <v>12</v>
      </c>
      <c r="P31" s="8">
        <v>0</v>
      </c>
      <c r="Q31" s="8">
        <v>2</v>
      </c>
      <c r="R31" s="8">
        <v>0</v>
      </c>
      <c r="S31" s="8">
        <v>56</v>
      </c>
      <c r="T31" s="8">
        <v>0</v>
      </c>
      <c r="U31" s="1">
        <f t="shared" si="1"/>
        <v>79</v>
      </c>
    </row>
    <row r="32" spans="1:21" ht="15" customHeight="1">
      <c r="A32" s="7">
        <v>29</v>
      </c>
      <c r="B32" s="8" t="s">
        <v>178</v>
      </c>
      <c r="C32" s="8">
        <v>1</v>
      </c>
      <c r="D32" s="8">
        <v>0</v>
      </c>
      <c r="E32" s="8">
        <v>0</v>
      </c>
      <c r="F32" s="8">
        <v>0</v>
      </c>
      <c r="G32" s="8">
        <v>2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9</v>
      </c>
      <c r="N32" s="8">
        <v>0</v>
      </c>
      <c r="O32" s="8">
        <v>13</v>
      </c>
      <c r="P32" s="8">
        <v>0</v>
      </c>
      <c r="Q32" s="8">
        <v>6</v>
      </c>
      <c r="R32" s="8">
        <v>0</v>
      </c>
      <c r="S32" s="8">
        <v>56</v>
      </c>
      <c r="T32" s="8">
        <v>0</v>
      </c>
      <c r="U32" s="1">
        <f t="shared" si="1"/>
        <v>87</v>
      </c>
    </row>
    <row r="33" spans="1:21" ht="15" customHeight="1">
      <c r="A33" s="7">
        <v>30</v>
      </c>
      <c r="B33" s="8" t="s">
        <v>179</v>
      </c>
      <c r="C33" s="8">
        <v>1</v>
      </c>
      <c r="D33" s="8">
        <v>0</v>
      </c>
      <c r="E33" s="8">
        <v>0</v>
      </c>
      <c r="F33" s="8">
        <v>0</v>
      </c>
      <c r="G33" s="8">
        <v>3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13</v>
      </c>
      <c r="N33" s="8">
        <v>0</v>
      </c>
      <c r="O33" s="8">
        <v>13</v>
      </c>
      <c r="P33" s="8">
        <v>0</v>
      </c>
      <c r="Q33" s="8">
        <v>5</v>
      </c>
      <c r="R33" s="8">
        <v>0</v>
      </c>
      <c r="S33" s="8">
        <v>62</v>
      </c>
      <c r="T33" s="8">
        <v>0</v>
      </c>
      <c r="U33" s="1">
        <f t="shared" si="1"/>
        <v>97</v>
      </c>
    </row>
    <row r="34" spans="1:21" ht="15" customHeight="1">
      <c r="A34" s="7">
        <v>31</v>
      </c>
      <c r="B34" s="8" t="s">
        <v>180</v>
      </c>
      <c r="C34" s="8">
        <v>1</v>
      </c>
      <c r="D34" s="8">
        <v>0</v>
      </c>
      <c r="E34" s="8">
        <v>0</v>
      </c>
      <c r="F34" s="8">
        <v>0</v>
      </c>
      <c r="G34" s="8">
        <v>2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13</v>
      </c>
      <c r="N34" s="8">
        <v>0</v>
      </c>
      <c r="O34" s="8">
        <v>11</v>
      </c>
      <c r="P34" s="8">
        <v>0</v>
      </c>
      <c r="Q34" s="8">
        <v>4</v>
      </c>
      <c r="R34" s="8">
        <v>0</v>
      </c>
      <c r="S34" s="8">
        <v>52</v>
      </c>
      <c r="T34" s="8">
        <v>0</v>
      </c>
      <c r="U34" s="1">
        <f t="shared" si="1"/>
        <v>83</v>
      </c>
    </row>
    <row r="35" spans="1:21" ht="15" customHeight="1">
      <c r="A35" s="4"/>
      <c r="B35" s="5"/>
      <c r="C35" s="8">
        <f>SUM(C4:C34)</f>
        <v>27</v>
      </c>
      <c r="D35" s="8">
        <f t="shared" ref="D35:U35" si="2">SUM(D4:D33)</f>
        <v>0</v>
      </c>
      <c r="E35" s="8">
        <f t="shared" si="2"/>
        <v>0</v>
      </c>
      <c r="F35" s="8">
        <f t="shared" si="2"/>
        <v>0</v>
      </c>
      <c r="G35" s="8">
        <f>SUM(G4:G34)</f>
        <v>26</v>
      </c>
      <c r="H35" s="8">
        <f t="shared" si="2"/>
        <v>0</v>
      </c>
      <c r="I35" s="8">
        <f t="shared" si="2"/>
        <v>0</v>
      </c>
      <c r="J35" s="8">
        <f t="shared" si="2"/>
        <v>0</v>
      </c>
      <c r="K35" s="8">
        <f t="shared" si="2"/>
        <v>0</v>
      </c>
      <c r="L35" s="8">
        <f t="shared" si="2"/>
        <v>0</v>
      </c>
      <c r="M35" s="8">
        <f>SUM(M4:M34)</f>
        <v>315</v>
      </c>
      <c r="N35" s="8">
        <f>SUM(N4:N34)</f>
        <v>0</v>
      </c>
      <c r="O35" s="8">
        <f>SUM(O4:O34)</f>
        <v>280</v>
      </c>
      <c r="P35" s="8">
        <f t="shared" si="2"/>
        <v>6</v>
      </c>
      <c r="Q35" s="8">
        <f>SUM(Q4:Q34)</f>
        <v>110</v>
      </c>
      <c r="R35" s="8">
        <f t="shared" si="2"/>
        <v>0</v>
      </c>
      <c r="S35" s="8">
        <f>SUM(S4:S34)</f>
        <v>1459</v>
      </c>
      <c r="T35" s="8">
        <f>SUM(T4:T34)</f>
        <v>6</v>
      </c>
      <c r="U35" s="8">
        <f t="shared" si="2"/>
        <v>2146</v>
      </c>
    </row>
  </sheetData>
  <mergeCells count="10">
    <mergeCell ref="A1:T1"/>
    <mergeCell ref="C2:D2"/>
    <mergeCell ref="E2:F2"/>
    <mergeCell ref="G2:H2"/>
    <mergeCell ref="I2:J2"/>
    <mergeCell ref="K2:L2"/>
    <mergeCell ref="M2:N2"/>
    <mergeCell ref="O2:P2"/>
    <mergeCell ref="Q2:R2"/>
    <mergeCell ref="S2:T2"/>
  </mergeCells>
  <hyperlinks>
    <hyperlink ref="A2" r:id="rId1" xr:uid="{00000000-0004-0000-0C00-000000000000}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U35"/>
  <sheetViews>
    <sheetView topLeftCell="A21" workbookViewId="0">
      <selection sqref="A1:U35"/>
    </sheetView>
  </sheetViews>
  <sheetFormatPr defaultColWidth="9.140625" defaultRowHeight="15" customHeight="1"/>
  <cols>
    <col min="1" max="1" width="5.42578125" customWidth="1"/>
    <col min="2" max="2" width="7.85546875" customWidth="1"/>
    <col min="3" max="3" width="4.85546875" customWidth="1"/>
    <col min="4" max="4" width="6.42578125" customWidth="1"/>
    <col min="5" max="5" width="4.85546875" customWidth="1"/>
    <col min="6" max="6" width="6.42578125" customWidth="1"/>
    <col min="7" max="7" width="4.85546875" customWidth="1"/>
    <col min="8" max="8" width="6.42578125" customWidth="1"/>
    <col min="9" max="9" width="4.85546875" customWidth="1"/>
    <col min="10" max="10" width="6.42578125" customWidth="1"/>
    <col min="11" max="11" width="4.85546875" customWidth="1"/>
    <col min="12" max="12" width="6.42578125" customWidth="1"/>
    <col min="13" max="13" width="4.85546875" customWidth="1"/>
    <col min="14" max="14" width="6.42578125" customWidth="1"/>
    <col min="15" max="15" width="4.85546875" customWidth="1"/>
    <col min="16" max="16" width="6.42578125" customWidth="1"/>
    <col min="17" max="17" width="4.85546875" customWidth="1"/>
    <col min="18" max="18" width="6.42578125" customWidth="1"/>
    <col min="19" max="19" width="4.85546875" customWidth="1"/>
    <col min="20" max="20" width="6.42578125" customWidth="1"/>
    <col min="21" max="21" width="4.5703125" customWidth="1"/>
  </cols>
  <sheetData>
    <row r="1" spans="1:21" ht="15" customHeight="1">
      <c r="A1" s="48" t="s">
        <v>181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</row>
    <row r="2" spans="1:21" ht="15" customHeight="1">
      <c r="A2" s="9" t="s">
        <v>1</v>
      </c>
      <c r="B2" s="10" t="s">
        <v>2</v>
      </c>
      <c r="C2" s="49" t="s">
        <v>3</v>
      </c>
      <c r="D2" s="50"/>
      <c r="E2" s="49" t="s">
        <v>4</v>
      </c>
      <c r="F2" s="50"/>
      <c r="G2" s="41" t="s">
        <v>149</v>
      </c>
      <c r="H2" s="42"/>
      <c r="I2" s="49" t="s">
        <v>6</v>
      </c>
      <c r="J2" s="50"/>
      <c r="K2" s="49" t="s">
        <v>7</v>
      </c>
      <c r="L2" s="50"/>
      <c r="M2" s="49" t="s">
        <v>8</v>
      </c>
      <c r="N2" s="50"/>
      <c r="O2" s="49" t="s">
        <v>9</v>
      </c>
      <c r="P2" s="50"/>
      <c r="Q2" s="49" t="s">
        <v>10</v>
      </c>
      <c r="R2" s="50"/>
      <c r="S2" s="49" t="s">
        <v>11</v>
      </c>
      <c r="T2" s="50"/>
    </row>
    <row r="3" spans="1:21" ht="15" customHeight="1">
      <c r="A3" s="11"/>
      <c r="B3" s="12"/>
      <c r="C3" s="13" t="s">
        <v>12</v>
      </c>
      <c r="D3" s="13" t="s">
        <v>13</v>
      </c>
      <c r="E3" s="13" t="s">
        <v>12</v>
      </c>
      <c r="F3" s="13" t="s">
        <v>13</v>
      </c>
      <c r="G3" s="13" t="s">
        <v>12</v>
      </c>
      <c r="H3" s="13" t="s">
        <v>13</v>
      </c>
      <c r="I3" s="13" t="s">
        <v>12</v>
      </c>
      <c r="J3" s="13" t="s">
        <v>13</v>
      </c>
      <c r="K3" s="13" t="s">
        <v>12</v>
      </c>
      <c r="L3" s="13" t="s">
        <v>13</v>
      </c>
      <c r="M3" s="13" t="s">
        <v>12</v>
      </c>
      <c r="N3" s="14" t="s">
        <v>13</v>
      </c>
      <c r="O3" s="14" t="s">
        <v>12</v>
      </c>
      <c r="P3" s="14" t="s">
        <v>13</v>
      </c>
      <c r="Q3" s="13" t="s">
        <v>12</v>
      </c>
      <c r="R3" s="13" t="s">
        <v>13</v>
      </c>
      <c r="S3" s="13" t="s">
        <v>12</v>
      </c>
      <c r="T3" s="13" t="s">
        <v>13</v>
      </c>
    </row>
    <row r="4" spans="1:21" ht="15" customHeight="1">
      <c r="A4" s="15">
        <v>1</v>
      </c>
      <c r="B4" s="8" t="s">
        <v>150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7"/>
      <c r="N4" s="18"/>
      <c r="O4" s="18"/>
      <c r="P4" s="18"/>
      <c r="Q4" s="19"/>
      <c r="R4" s="18"/>
      <c r="S4" s="16"/>
      <c r="T4" s="16"/>
      <c r="U4" s="1">
        <f t="shared" ref="U4:U34" si="0">SUM(E4:T4)</f>
        <v>0</v>
      </c>
    </row>
    <row r="5" spans="1:21" ht="15" customHeight="1">
      <c r="A5" s="15">
        <v>2</v>
      </c>
      <c r="B5" s="8" t="s">
        <v>151</v>
      </c>
      <c r="C5" s="16">
        <v>0</v>
      </c>
      <c r="D5" s="16">
        <v>0</v>
      </c>
      <c r="E5" s="16">
        <v>0</v>
      </c>
      <c r="F5" s="16">
        <v>0</v>
      </c>
      <c r="G5" s="16">
        <v>0</v>
      </c>
      <c r="H5" s="16">
        <v>0</v>
      </c>
      <c r="I5" s="16">
        <v>0</v>
      </c>
      <c r="J5" s="16">
        <v>0</v>
      </c>
      <c r="K5" s="16">
        <v>0</v>
      </c>
      <c r="L5" s="16">
        <v>0</v>
      </c>
      <c r="M5" s="17">
        <v>5</v>
      </c>
      <c r="N5" s="18">
        <v>0</v>
      </c>
      <c r="O5" s="18">
        <v>3</v>
      </c>
      <c r="P5" s="18">
        <v>0</v>
      </c>
      <c r="Q5" s="19">
        <v>3</v>
      </c>
      <c r="R5" s="18">
        <v>0</v>
      </c>
      <c r="S5" s="16">
        <v>4</v>
      </c>
      <c r="T5" s="16">
        <v>0</v>
      </c>
      <c r="U5" s="1">
        <f t="shared" si="0"/>
        <v>15</v>
      </c>
    </row>
    <row r="6" spans="1:21" ht="15" customHeight="1">
      <c r="A6" s="15">
        <v>3</v>
      </c>
      <c r="B6" s="8" t="s">
        <v>152</v>
      </c>
      <c r="C6" s="16">
        <v>0</v>
      </c>
      <c r="D6" s="16">
        <v>0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2</v>
      </c>
      <c r="K6" s="16">
        <v>0</v>
      </c>
      <c r="L6" s="16">
        <v>0</v>
      </c>
      <c r="M6" s="17">
        <v>8</v>
      </c>
      <c r="N6" s="18">
        <v>7</v>
      </c>
      <c r="O6" s="18">
        <v>0</v>
      </c>
      <c r="P6" s="18">
        <v>4</v>
      </c>
      <c r="Q6" s="19">
        <v>0</v>
      </c>
      <c r="R6" s="18">
        <v>0</v>
      </c>
      <c r="S6" s="16">
        <v>0</v>
      </c>
      <c r="T6" s="16">
        <v>1</v>
      </c>
      <c r="U6" s="1">
        <f t="shared" si="0"/>
        <v>22</v>
      </c>
    </row>
    <row r="7" spans="1:21" ht="15" customHeight="1">
      <c r="A7" s="15">
        <v>4</v>
      </c>
      <c r="B7" s="8" t="s">
        <v>153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2</v>
      </c>
      <c r="K7" s="16">
        <v>0</v>
      </c>
      <c r="L7" s="16">
        <v>0</v>
      </c>
      <c r="M7" s="16">
        <v>9</v>
      </c>
      <c r="N7" s="18">
        <v>6</v>
      </c>
      <c r="O7" s="18">
        <v>0</v>
      </c>
      <c r="P7" s="18">
        <v>0</v>
      </c>
      <c r="Q7" s="16">
        <v>0</v>
      </c>
      <c r="R7" s="18">
        <v>0</v>
      </c>
      <c r="S7" s="16"/>
      <c r="T7" s="16">
        <v>2</v>
      </c>
      <c r="U7" s="1">
        <f t="shared" si="0"/>
        <v>19</v>
      </c>
    </row>
    <row r="8" spans="1:21" ht="15" customHeight="1">
      <c r="A8" s="15">
        <v>5</v>
      </c>
      <c r="B8" s="8" t="s">
        <v>154</v>
      </c>
      <c r="C8" s="16">
        <v>0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3</v>
      </c>
      <c r="K8" s="16">
        <v>0</v>
      </c>
      <c r="L8" s="16">
        <v>0</v>
      </c>
      <c r="M8" s="16">
        <v>9</v>
      </c>
      <c r="N8" s="16">
        <v>4</v>
      </c>
      <c r="O8" s="16">
        <v>3</v>
      </c>
      <c r="P8" s="16">
        <v>0</v>
      </c>
      <c r="Q8" s="16">
        <v>3</v>
      </c>
      <c r="R8" s="18">
        <v>0</v>
      </c>
      <c r="S8" s="16"/>
      <c r="T8" s="16"/>
      <c r="U8" s="1">
        <f t="shared" si="0"/>
        <v>22</v>
      </c>
    </row>
    <row r="9" spans="1:21" ht="15" customHeight="1">
      <c r="A9" s="15">
        <v>6</v>
      </c>
      <c r="B9" s="8" t="s">
        <v>155</v>
      </c>
      <c r="C9" s="16">
        <v>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3</v>
      </c>
      <c r="K9" s="16">
        <v>0</v>
      </c>
      <c r="L9" s="16">
        <v>0</v>
      </c>
      <c r="M9" s="16">
        <v>8</v>
      </c>
      <c r="N9" s="16">
        <v>6</v>
      </c>
      <c r="O9" s="16">
        <v>3</v>
      </c>
      <c r="P9" s="16">
        <v>0</v>
      </c>
      <c r="Q9" s="16">
        <v>3</v>
      </c>
      <c r="R9" s="18">
        <v>0</v>
      </c>
      <c r="S9" s="16"/>
      <c r="T9" s="16"/>
      <c r="U9" s="1">
        <f t="shared" si="0"/>
        <v>23</v>
      </c>
    </row>
    <row r="10" spans="1:21" ht="15" customHeight="1">
      <c r="A10" s="15">
        <v>7</v>
      </c>
      <c r="B10" s="8" t="s">
        <v>156</v>
      </c>
      <c r="C10" s="16">
        <v>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1</v>
      </c>
      <c r="K10" s="16">
        <v>0</v>
      </c>
      <c r="L10" s="16">
        <v>0</v>
      </c>
      <c r="M10" s="16">
        <v>7</v>
      </c>
      <c r="N10" s="16">
        <v>7</v>
      </c>
      <c r="O10" s="16">
        <v>2</v>
      </c>
      <c r="P10" s="16">
        <v>0</v>
      </c>
      <c r="Q10" s="16">
        <v>3</v>
      </c>
      <c r="R10" s="18">
        <v>0</v>
      </c>
      <c r="S10" s="16"/>
      <c r="T10" s="16"/>
      <c r="U10" s="1">
        <f t="shared" si="0"/>
        <v>20</v>
      </c>
    </row>
    <row r="11" spans="1:21" ht="15" customHeight="1">
      <c r="A11" s="15">
        <v>1</v>
      </c>
      <c r="B11" s="8" t="s">
        <v>157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2</v>
      </c>
      <c r="K11" s="16">
        <v>0</v>
      </c>
      <c r="L11" s="16">
        <v>0</v>
      </c>
      <c r="M11" s="16">
        <v>7</v>
      </c>
      <c r="N11" s="16">
        <v>8</v>
      </c>
      <c r="O11" s="16">
        <v>2</v>
      </c>
      <c r="P11" s="16">
        <v>1</v>
      </c>
      <c r="Q11" s="16">
        <v>3</v>
      </c>
      <c r="R11" s="18">
        <v>0</v>
      </c>
      <c r="S11" s="16"/>
      <c r="T11" s="16"/>
      <c r="U11" s="1">
        <f t="shared" si="0"/>
        <v>23</v>
      </c>
    </row>
    <row r="12" spans="1:21" ht="15" customHeight="1">
      <c r="A12" s="15">
        <v>9</v>
      </c>
      <c r="B12" s="8" t="s">
        <v>158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2</v>
      </c>
      <c r="K12" s="16">
        <v>0</v>
      </c>
      <c r="L12" s="16">
        <v>0</v>
      </c>
      <c r="M12" s="16">
        <v>8</v>
      </c>
      <c r="N12" s="16">
        <v>8</v>
      </c>
      <c r="O12" s="16">
        <v>2</v>
      </c>
      <c r="P12" s="16">
        <v>1</v>
      </c>
      <c r="Q12" s="16">
        <v>4</v>
      </c>
      <c r="R12" s="18">
        <v>0</v>
      </c>
      <c r="S12" s="16"/>
      <c r="T12" s="16"/>
      <c r="U12" s="1">
        <f t="shared" si="0"/>
        <v>25</v>
      </c>
    </row>
    <row r="13" spans="1:21" ht="15" customHeight="1">
      <c r="A13" s="15">
        <v>10</v>
      </c>
      <c r="B13" s="8" t="s">
        <v>159</v>
      </c>
      <c r="C13" s="16"/>
      <c r="D13" s="16"/>
      <c r="E13" s="16"/>
      <c r="F13" s="16"/>
      <c r="G13" s="16"/>
      <c r="H13" s="16"/>
      <c r="I13" s="16"/>
      <c r="J13" s="16"/>
      <c r="K13" s="16">
        <v>0</v>
      </c>
      <c r="L13" s="16">
        <v>0</v>
      </c>
      <c r="M13" s="16">
        <v>8</v>
      </c>
      <c r="N13" s="16"/>
      <c r="O13" s="16"/>
      <c r="P13" s="16"/>
      <c r="Q13" s="16"/>
      <c r="R13" s="18">
        <v>0</v>
      </c>
      <c r="S13" s="16"/>
      <c r="T13" s="16"/>
      <c r="U13" s="1">
        <f t="shared" si="0"/>
        <v>8</v>
      </c>
    </row>
    <row r="14" spans="1:21" ht="15" customHeight="1">
      <c r="A14" s="15">
        <v>11</v>
      </c>
      <c r="B14" s="8" t="s">
        <v>160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2</v>
      </c>
      <c r="K14" s="16">
        <v>0</v>
      </c>
      <c r="L14" s="16">
        <v>0</v>
      </c>
      <c r="M14" s="16">
        <v>12</v>
      </c>
      <c r="N14" s="16">
        <v>9</v>
      </c>
      <c r="O14" s="16">
        <v>2</v>
      </c>
      <c r="P14" s="16">
        <v>1</v>
      </c>
      <c r="Q14" s="16">
        <v>4</v>
      </c>
      <c r="R14" s="18">
        <v>0</v>
      </c>
      <c r="S14" s="16"/>
      <c r="T14" s="16"/>
      <c r="U14" s="1">
        <f t="shared" si="0"/>
        <v>30</v>
      </c>
    </row>
    <row r="15" spans="1:21" ht="15" customHeight="1">
      <c r="A15" s="15">
        <v>12</v>
      </c>
      <c r="B15" s="8" t="s">
        <v>161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2</v>
      </c>
      <c r="K15" s="16">
        <v>0</v>
      </c>
      <c r="L15" s="16">
        <v>0</v>
      </c>
      <c r="M15" s="16">
        <v>10</v>
      </c>
      <c r="N15" s="16">
        <v>6</v>
      </c>
      <c r="O15" s="16">
        <v>2</v>
      </c>
      <c r="P15" s="16">
        <v>1</v>
      </c>
      <c r="Q15" s="16">
        <v>1</v>
      </c>
      <c r="R15" s="18">
        <v>0</v>
      </c>
      <c r="S15" s="16"/>
      <c r="T15" s="16"/>
      <c r="U15" s="1">
        <f t="shared" si="0"/>
        <v>22</v>
      </c>
    </row>
    <row r="16" spans="1:21" ht="15" customHeight="1">
      <c r="A16" s="15">
        <v>13</v>
      </c>
      <c r="B16" s="8" t="s">
        <v>162</v>
      </c>
      <c r="C16" s="16">
        <v>0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1</v>
      </c>
      <c r="K16" s="16">
        <v>0</v>
      </c>
      <c r="L16" s="16">
        <v>0</v>
      </c>
      <c r="M16" s="16">
        <v>8</v>
      </c>
      <c r="N16" s="16">
        <v>7</v>
      </c>
      <c r="O16" s="16">
        <v>2</v>
      </c>
      <c r="P16" s="16">
        <v>1</v>
      </c>
      <c r="Q16" s="16"/>
      <c r="R16" s="18">
        <v>0</v>
      </c>
      <c r="S16" s="16"/>
      <c r="T16" s="16"/>
      <c r="U16" s="1">
        <f t="shared" si="0"/>
        <v>19</v>
      </c>
    </row>
    <row r="17" spans="1:21" ht="15" customHeight="1">
      <c r="A17" s="15">
        <v>14</v>
      </c>
      <c r="B17" s="8" t="s">
        <v>163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2</v>
      </c>
      <c r="K17" s="16">
        <v>0</v>
      </c>
      <c r="L17" s="16">
        <v>0</v>
      </c>
      <c r="M17" s="16">
        <v>10</v>
      </c>
      <c r="N17" s="16">
        <v>8</v>
      </c>
      <c r="O17" s="16">
        <v>2</v>
      </c>
      <c r="P17" s="16">
        <v>1</v>
      </c>
      <c r="Q17" s="16"/>
      <c r="R17" s="18">
        <v>0</v>
      </c>
      <c r="S17" s="16"/>
      <c r="T17" s="16"/>
      <c r="U17" s="1">
        <f t="shared" si="0"/>
        <v>23</v>
      </c>
    </row>
    <row r="18" spans="1:21" ht="15" customHeight="1">
      <c r="A18" s="15">
        <v>15</v>
      </c>
      <c r="B18" s="8" t="s">
        <v>164</v>
      </c>
      <c r="C18" s="16">
        <v>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2</v>
      </c>
      <c r="J18" s="16"/>
      <c r="K18" s="16">
        <v>0</v>
      </c>
      <c r="L18" s="16">
        <v>0</v>
      </c>
      <c r="M18" s="16">
        <v>11</v>
      </c>
      <c r="N18" s="16">
        <v>6</v>
      </c>
      <c r="O18" s="16">
        <v>1</v>
      </c>
      <c r="P18" s="16">
        <v>1</v>
      </c>
      <c r="Q18" s="16">
        <v>3</v>
      </c>
      <c r="R18" s="18">
        <v>0</v>
      </c>
      <c r="S18" s="16"/>
      <c r="T18" s="16"/>
      <c r="U18" s="1">
        <f t="shared" si="0"/>
        <v>24</v>
      </c>
    </row>
    <row r="19" spans="1:21" ht="15" customHeight="1">
      <c r="A19" s="15">
        <v>16</v>
      </c>
      <c r="B19" s="8" t="s">
        <v>165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2</v>
      </c>
      <c r="K19" s="16">
        <v>0</v>
      </c>
      <c r="L19" s="16">
        <v>0</v>
      </c>
      <c r="M19" s="16">
        <v>12</v>
      </c>
      <c r="N19" s="16">
        <v>8</v>
      </c>
      <c r="O19" s="16">
        <v>0</v>
      </c>
      <c r="P19" s="16">
        <v>2</v>
      </c>
      <c r="Q19" s="16">
        <v>3</v>
      </c>
      <c r="R19" s="18">
        <v>0</v>
      </c>
      <c r="S19" s="16"/>
      <c r="T19" s="16"/>
      <c r="U19" s="1">
        <f t="shared" si="0"/>
        <v>27</v>
      </c>
    </row>
    <row r="20" spans="1:21" ht="15" customHeight="1">
      <c r="A20" s="15">
        <v>17</v>
      </c>
      <c r="B20" s="8" t="s">
        <v>166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8">
        <v>0</v>
      </c>
      <c r="S20" s="16"/>
      <c r="T20" s="16"/>
      <c r="U20" s="1">
        <f t="shared" si="0"/>
        <v>0</v>
      </c>
    </row>
    <row r="21" spans="1:21" ht="15" customHeight="1">
      <c r="A21" s="15">
        <v>18</v>
      </c>
      <c r="B21" s="8" t="s">
        <v>167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2</v>
      </c>
      <c r="J21" s="16">
        <v>0</v>
      </c>
      <c r="K21" s="16">
        <v>0</v>
      </c>
      <c r="L21" s="16">
        <v>0</v>
      </c>
      <c r="M21" s="16">
        <v>11</v>
      </c>
      <c r="N21" s="16">
        <v>5</v>
      </c>
      <c r="O21" s="16">
        <v>2</v>
      </c>
      <c r="P21" s="16">
        <v>1</v>
      </c>
      <c r="Q21" s="16">
        <v>8</v>
      </c>
      <c r="R21" s="18">
        <v>0</v>
      </c>
      <c r="S21" s="16"/>
      <c r="T21" s="16"/>
      <c r="U21" s="1">
        <f t="shared" si="0"/>
        <v>29</v>
      </c>
    </row>
    <row r="22" spans="1:21" ht="15" customHeight="1">
      <c r="A22" s="15">
        <v>19</v>
      </c>
      <c r="B22" s="8" t="s">
        <v>168</v>
      </c>
      <c r="C22" s="16">
        <v>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7</v>
      </c>
      <c r="O22" s="16">
        <v>2</v>
      </c>
      <c r="P22" s="16">
        <v>1</v>
      </c>
      <c r="Q22" s="16">
        <v>11</v>
      </c>
      <c r="R22" s="18">
        <v>0</v>
      </c>
      <c r="S22" s="16"/>
      <c r="T22" s="16"/>
      <c r="U22" s="1">
        <f t="shared" si="0"/>
        <v>21</v>
      </c>
    </row>
    <row r="23" spans="1:21" ht="15" customHeight="1">
      <c r="A23" s="15">
        <v>20</v>
      </c>
      <c r="B23" s="8" t="s">
        <v>169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10</v>
      </c>
      <c r="N23" s="16">
        <v>9</v>
      </c>
      <c r="O23" s="16">
        <v>2</v>
      </c>
      <c r="P23" s="16">
        <v>1</v>
      </c>
      <c r="Q23" s="16">
        <v>10</v>
      </c>
      <c r="R23" s="18">
        <v>0</v>
      </c>
      <c r="S23" s="16"/>
      <c r="T23" s="16"/>
      <c r="U23" s="1">
        <f t="shared" si="0"/>
        <v>32</v>
      </c>
    </row>
    <row r="24" spans="1:21" ht="15" customHeight="1">
      <c r="A24" s="15">
        <v>21</v>
      </c>
      <c r="B24" s="8" t="s">
        <v>170</v>
      </c>
      <c r="C24" s="16">
        <v>0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11</v>
      </c>
      <c r="N24" s="16">
        <v>8</v>
      </c>
      <c r="O24" s="16">
        <v>1</v>
      </c>
      <c r="P24" s="16">
        <v>1</v>
      </c>
      <c r="Q24" s="16">
        <v>7</v>
      </c>
      <c r="R24" s="18">
        <v>0</v>
      </c>
      <c r="S24" s="16"/>
      <c r="T24" s="16"/>
      <c r="U24" s="1">
        <f t="shared" si="0"/>
        <v>28</v>
      </c>
    </row>
    <row r="25" spans="1:21" ht="15" customHeight="1">
      <c r="A25" s="15">
        <v>22</v>
      </c>
      <c r="B25" s="8" t="s">
        <v>171</v>
      </c>
      <c r="C25" s="16">
        <v>0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11</v>
      </c>
      <c r="N25" s="16">
        <v>8</v>
      </c>
      <c r="O25" s="16">
        <v>5</v>
      </c>
      <c r="P25" s="16">
        <v>2</v>
      </c>
      <c r="Q25" s="16">
        <v>3</v>
      </c>
      <c r="R25" s="18">
        <v>2</v>
      </c>
      <c r="S25" s="16"/>
      <c r="T25" s="16"/>
      <c r="U25" s="1">
        <f t="shared" si="0"/>
        <v>31</v>
      </c>
    </row>
    <row r="26" spans="1:21" ht="15" customHeight="1">
      <c r="A26" s="15">
        <v>23</v>
      </c>
      <c r="B26" s="8" t="s">
        <v>172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11</v>
      </c>
      <c r="N26" s="16">
        <v>10</v>
      </c>
      <c r="O26" s="16">
        <v>5</v>
      </c>
      <c r="P26" s="16">
        <v>3</v>
      </c>
      <c r="Q26" s="16">
        <v>6</v>
      </c>
      <c r="R26" s="16">
        <v>0</v>
      </c>
      <c r="S26" s="16"/>
      <c r="T26" s="16"/>
      <c r="U26" s="1">
        <f t="shared" si="0"/>
        <v>35</v>
      </c>
    </row>
    <row r="27" spans="1:21" ht="15" customHeight="1">
      <c r="A27" s="15">
        <v>24</v>
      </c>
      <c r="B27" s="8" t="s">
        <v>173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9</v>
      </c>
      <c r="N27" s="16">
        <v>0</v>
      </c>
      <c r="O27" s="16">
        <v>5</v>
      </c>
      <c r="P27" s="16">
        <v>0</v>
      </c>
      <c r="Q27" s="16">
        <v>3</v>
      </c>
      <c r="R27" s="16">
        <v>0</v>
      </c>
      <c r="S27" s="16"/>
      <c r="T27" s="16"/>
      <c r="U27" s="1">
        <f t="shared" si="0"/>
        <v>17</v>
      </c>
    </row>
    <row r="28" spans="1:21" ht="15" customHeight="1">
      <c r="A28" s="15">
        <v>25</v>
      </c>
      <c r="B28" s="8" t="s">
        <v>174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9</v>
      </c>
      <c r="N28" s="16">
        <v>7</v>
      </c>
      <c r="O28" s="16">
        <v>2</v>
      </c>
      <c r="P28" s="16">
        <v>1</v>
      </c>
      <c r="Q28" s="16">
        <v>3</v>
      </c>
      <c r="R28" s="16">
        <v>0</v>
      </c>
      <c r="S28" s="16"/>
      <c r="T28" s="16"/>
      <c r="U28" s="1">
        <f t="shared" si="0"/>
        <v>22</v>
      </c>
    </row>
    <row r="29" spans="1:21" ht="15" customHeight="1">
      <c r="A29" s="15">
        <v>26</v>
      </c>
      <c r="B29" s="8" t="s">
        <v>175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4</v>
      </c>
      <c r="N29" s="16">
        <v>5</v>
      </c>
      <c r="O29" s="16">
        <v>0</v>
      </c>
      <c r="P29" s="16">
        <v>0</v>
      </c>
      <c r="Q29" s="16">
        <v>5</v>
      </c>
      <c r="R29" s="16">
        <v>0</v>
      </c>
      <c r="S29" s="16"/>
      <c r="T29" s="16"/>
      <c r="U29" s="1">
        <f t="shared" si="0"/>
        <v>14</v>
      </c>
    </row>
    <row r="30" spans="1:21" ht="15" customHeight="1">
      <c r="A30" s="15">
        <v>27</v>
      </c>
      <c r="B30" s="8" t="s">
        <v>176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3</v>
      </c>
      <c r="N30" s="16">
        <v>0</v>
      </c>
      <c r="O30" s="16">
        <v>0</v>
      </c>
      <c r="P30" s="16">
        <v>0</v>
      </c>
      <c r="Q30" s="16">
        <v>5</v>
      </c>
      <c r="R30" s="16">
        <v>0</v>
      </c>
      <c r="S30" s="16"/>
      <c r="T30" s="16"/>
      <c r="U30" s="1">
        <f t="shared" si="0"/>
        <v>8</v>
      </c>
    </row>
    <row r="31" spans="1:21" ht="15" customHeight="1">
      <c r="A31" s="15">
        <v>28</v>
      </c>
      <c r="B31" s="8" t="s">
        <v>177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3</v>
      </c>
      <c r="N31" s="16">
        <v>0</v>
      </c>
      <c r="O31" s="16">
        <v>0</v>
      </c>
      <c r="P31" s="16">
        <v>0</v>
      </c>
      <c r="Q31" s="16">
        <v>6</v>
      </c>
      <c r="R31" s="16">
        <v>0</v>
      </c>
      <c r="S31" s="16"/>
      <c r="T31" s="16"/>
      <c r="U31" s="1">
        <f t="shared" si="0"/>
        <v>9</v>
      </c>
    </row>
    <row r="32" spans="1:21" ht="15" customHeight="1">
      <c r="A32" s="15">
        <v>29</v>
      </c>
      <c r="B32" s="8" t="s">
        <v>178</v>
      </c>
      <c r="C32" s="16">
        <v>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2</v>
      </c>
      <c r="N32" s="16">
        <v>0</v>
      </c>
      <c r="O32" s="16">
        <v>0</v>
      </c>
      <c r="P32" s="16">
        <v>0</v>
      </c>
      <c r="Q32" s="16">
        <v>4</v>
      </c>
      <c r="R32" s="16">
        <v>0</v>
      </c>
      <c r="S32" s="16"/>
      <c r="T32" s="16"/>
      <c r="U32" s="1">
        <f t="shared" si="0"/>
        <v>6</v>
      </c>
    </row>
    <row r="33" spans="1:21" ht="15" customHeight="1">
      <c r="A33" s="15">
        <v>30</v>
      </c>
      <c r="B33" s="8" t="s">
        <v>179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5</v>
      </c>
      <c r="N33" s="16">
        <v>0</v>
      </c>
      <c r="O33" s="16">
        <v>0</v>
      </c>
      <c r="P33" s="16">
        <v>0</v>
      </c>
      <c r="Q33" s="16">
        <v>7</v>
      </c>
      <c r="R33" s="16">
        <v>0</v>
      </c>
      <c r="S33" s="16"/>
      <c r="T33" s="16"/>
      <c r="U33" s="1">
        <f t="shared" si="0"/>
        <v>12</v>
      </c>
    </row>
    <row r="34" spans="1:21" ht="15" customHeight="1">
      <c r="A34" s="15">
        <v>31</v>
      </c>
      <c r="B34" s="8" t="s">
        <v>180</v>
      </c>
      <c r="C34" s="16">
        <v>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4</v>
      </c>
      <c r="N34" s="16">
        <v>0</v>
      </c>
      <c r="O34" s="16">
        <v>0</v>
      </c>
      <c r="P34" s="16">
        <v>0</v>
      </c>
      <c r="Q34" s="16">
        <v>3</v>
      </c>
      <c r="R34" s="16">
        <v>0</v>
      </c>
      <c r="S34" s="16">
        <v>1</v>
      </c>
      <c r="T34" s="16"/>
      <c r="U34" s="1">
        <f t="shared" si="0"/>
        <v>8</v>
      </c>
    </row>
    <row r="35" spans="1:21" ht="15" customHeight="1">
      <c r="A35" s="11"/>
      <c r="B35" s="5"/>
      <c r="C35" s="8">
        <f t="shared" ref="C35:U35" si="1">SUM(C4:C33)</f>
        <v>0</v>
      </c>
      <c r="D35" s="8">
        <f t="shared" si="1"/>
        <v>0</v>
      </c>
      <c r="E35" s="8">
        <f t="shared" si="1"/>
        <v>0</v>
      </c>
      <c r="F35" s="8">
        <f t="shared" si="1"/>
        <v>0</v>
      </c>
      <c r="G35" s="8">
        <f t="shared" si="1"/>
        <v>0</v>
      </c>
      <c r="H35" s="8">
        <f t="shared" si="1"/>
        <v>0</v>
      </c>
      <c r="I35" s="8">
        <f t="shared" si="1"/>
        <v>4</v>
      </c>
      <c r="J35" s="8">
        <f t="shared" si="1"/>
        <v>24</v>
      </c>
      <c r="K35" s="8">
        <f t="shared" si="1"/>
        <v>0</v>
      </c>
      <c r="L35" s="8">
        <f t="shared" si="1"/>
        <v>0</v>
      </c>
      <c r="M35" s="8">
        <f>SUM(M4:M34)</f>
        <v>225</v>
      </c>
      <c r="N35" s="8">
        <f t="shared" si="1"/>
        <v>149</v>
      </c>
      <c r="O35" s="8">
        <f t="shared" si="1"/>
        <v>48</v>
      </c>
      <c r="P35" s="8">
        <f t="shared" si="1"/>
        <v>23</v>
      </c>
      <c r="Q35" s="8">
        <f>SUM(Q4:Q34)</f>
        <v>111</v>
      </c>
      <c r="R35" s="8">
        <f t="shared" si="1"/>
        <v>2</v>
      </c>
      <c r="S35" s="8">
        <f t="shared" si="1"/>
        <v>4</v>
      </c>
      <c r="T35" s="8">
        <f t="shared" si="1"/>
        <v>3</v>
      </c>
      <c r="U35" s="8">
        <f t="shared" si="1"/>
        <v>586</v>
      </c>
    </row>
  </sheetData>
  <mergeCells count="10">
    <mergeCell ref="A1:T1"/>
    <mergeCell ref="C2:D2"/>
    <mergeCell ref="E2:F2"/>
    <mergeCell ref="G2:H2"/>
    <mergeCell ref="I2:J2"/>
    <mergeCell ref="K2:L2"/>
    <mergeCell ref="M2:N2"/>
    <mergeCell ref="O2:P2"/>
    <mergeCell ref="Q2:R2"/>
    <mergeCell ref="S2:T2"/>
  </mergeCells>
  <hyperlinks>
    <hyperlink ref="A2" r:id="rId1" xr:uid="{00000000-0004-0000-0D00-000000000000}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S37"/>
  <sheetViews>
    <sheetView topLeftCell="A17" workbookViewId="0">
      <selection sqref="A1:S35"/>
    </sheetView>
  </sheetViews>
  <sheetFormatPr defaultColWidth="9.140625" defaultRowHeight="15" customHeight="1"/>
  <cols>
    <col min="1" max="1" width="3.7109375" customWidth="1"/>
    <col min="2" max="2" width="7.140625" customWidth="1"/>
    <col min="3" max="3" width="3.28515625" customWidth="1"/>
    <col min="4" max="4" width="5.140625" customWidth="1"/>
    <col min="5" max="5" width="3.28515625" customWidth="1"/>
    <col min="6" max="6" width="5.140625" customWidth="1"/>
    <col min="7" max="7" width="3.28515625" customWidth="1"/>
    <col min="8" max="8" width="5.140625" customWidth="1"/>
    <col min="9" max="9" width="3.28515625" customWidth="1"/>
    <col min="10" max="10" width="5.140625" customWidth="1"/>
    <col min="11" max="11" width="3.28515625" customWidth="1"/>
    <col min="12" max="12" width="7.5703125" customWidth="1"/>
    <col min="13" max="13" width="8.5703125" customWidth="1"/>
    <col min="14" max="15" width="7.5703125" customWidth="1"/>
    <col min="16" max="16" width="5.140625" customWidth="1"/>
    <col min="17" max="17" width="4.28515625" customWidth="1"/>
    <col min="18" max="18" width="5.140625" customWidth="1"/>
    <col min="19" max="19" width="5" customWidth="1"/>
    <col min="21" max="21" width="4" customWidth="1"/>
  </cols>
  <sheetData>
    <row r="1" spans="1:19" ht="15" customHeight="1" thickBot="1">
      <c r="A1" s="38" t="s">
        <v>182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40"/>
      <c r="S1" s="1"/>
    </row>
    <row r="2" spans="1:19" ht="15" customHeight="1" thickBot="1">
      <c r="A2" s="2" t="s">
        <v>1</v>
      </c>
      <c r="B2" s="3" t="s">
        <v>2</v>
      </c>
      <c r="C2" s="41" t="s">
        <v>3</v>
      </c>
      <c r="D2" s="42"/>
      <c r="E2" s="41" t="s">
        <v>4</v>
      </c>
      <c r="F2" s="42"/>
      <c r="G2" s="41" t="s">
        <v>149</v>
      </c>
      <c r="H2" s="42"/>
      <c r="I2" s="41" t="s">
        <v>6</v>
      </c>
      <c r="J2" s="42"/>
      <c r="K2" s="41" t="s">
        <v>7</v>
      </c>
      <c r="L2" s="42"/>
      <c r="M2" s="41" t="s">
        <v>8</v>
      </c>
      <c r="N2" s="42"/>
      <c r="O2" s="41" t="s">
        <v>9</v>
      </c>
      <c r="P2" s="42"/>
      <c r="Q2" s="41" t="s">
        <v>10</v>
      </c>
      <c r="R2" s="42"/>
      <c r="S2" s="1"/>
    </row>
    <row r="3" spans="1:19" ht="15" customHeight="1" thickBot="1">
      <c r="A3" s="4"/>
      <c r="B3" s="5"/>
      <c r="C3" s="6" t="s">
        <v>12</v>
      </c>
      <c r="D3" s="6" t="s">
        <v>13</v>
      </c>
      <c r="E3" s="6" t="s">
        <v>12</v>
      </c>
      <c r="F3" s="6" t="s">
        <v>13</v>
      </c>
      <c r="G3" s="6" t="s">
        <v>12</v>
      </c>
      <c r="H3" s="6" t="s">
        <v>13</v>
      </c>
      <c r="I3" s="6" t="s">
        <v>12</v>
      </c>
      <c r="J3" s="6" t="s">
        <v>13</v>
      </c>
      <c r="K3" s="6" t="s">
        <v>12</v>
      </c>
      <c r="L3" s="6" t="s">
        <v>13</v>
      </c>
      <c r="M3" s="6" t="s">
        <v>12</v>
      </c>
      <c r="N3" s="6" t="s">
        <v>13</v>
      </c>
      <c r="O3" s="6" t="s">
        <v>12</v>
      </c>
      <c r="P3" s="6" t="s">
        <v>13</v>
      </c>
      <c r="Q3" s="6" t="s">
        <v>12</v>
      </c>
      <c r="R3" s="6" t="s">
        <v>13</v>
      </c>
      <c r="S3" s="1"/>
    </row>
    <row r="4" spans="1:19" ht="15" customHeight="1" thickBot="1">
      <c r="A4" s="7">
        <v>1</v>
      </c>
      <c r="B4" s="8" t="s">
        <v>150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1">
        <f t="shared" ref="S4:S34" si="0">SUM(C4:R4)</f>
        <v>0</v>
      </c>
    </row>
    <row r="5" spans="1:19" ht="15" customHeight="1" thickBot="1">
      <c r="A5" s="7">
        <v>2</v>
      </c>
      <c r="B5" s="8" t="s">
        <v>151</v>
      </c>
      <c r="C5" s="8">
        <v>1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14</v>
      </c>
      <c r="N5" s="8">
        <v>0</v>
      </c>
      <c r="O5" s="8">
        <v>21</v>
      </c>
      <c r="P5" s="8">
        <v>0</v>
      </c>
      <c r="Q5" s="8">
        <v>10</v>
      </c>
      <c r="R5" s="8">
        <v>0</v>
      </c>
      <c r="S5" s="1">
        <f t="shared" si="0"/>
        <v>46</v>
      </c>
    </row>
    <row r="6" spans="1:19" ht="15" customHeight="1" thickBot="1">
      <c r="A6" s="7">
        <v>3</v>
      </c>
      <c r="B6" s="8" t="s">
        <v>152</v>
      </c>
      <c r="C6" s="8"/>
      <c r="D6" s="8"/>
      <c r="E6" s="8"/>
      <c r="F6" s="8"/>
      <c r="G6" s="8"/>
      <c r="H6" s="8"/>
      <c r="I6" s="8"/>
      <c r="J6" s="8">
        <v>2</v>
      </c>
      <c r="K6" s="8"/>
      <c r="L6" s="8"/>
      <c r="M6" s="8">
        <v>9</v>
      </c>
      <c r="N6" s="8">
        <v>7</v>
      </c>
      <c r="O6" s="8">
        <v>3</v>
      </c>
      <c r="P6" s="8">
        <v>4</v>
      </c>
      <c r="Q6" s="8"/>
      <c r="R6" s="8"/>
      <c r="S6" s="1">
        <f t="shared" si="0"/>
        <v>25</v>
      </c>
    </row>
    <row r="7" spans="1:19" ht="15" customHeight="1" thickBot="1">
      <c r="A7" s="7">
        <v>4</v>
      </c>
      <c r="B7" s="8" t="s">
        <v>153</v>
      </c>
      <c r="C7" s="8">
        <v>1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2</v>
      </c>
      <c r="K7" s="8">
        <v>0</v>
      </c>
      <c r="L7" s="8">
        <v>0</v>
      </c>
      <c r="M7" s="8">
        <v>18</v>
      </c>
      <c r="N7" s="8">
        <v>6</v>
      </c>
      <c r="O7" s="8">
        <v>21</v>
      </c>
      <c r="P7" s="8">
        <v>0</v>
      </c>
      <c r="Q7" s="8">
        <v>8</v>
      </c>
      <c r="R7" s="8">
        <v>0</v>
      </c>
      <c r="S7" s="1">
        <f t="shared" si="0"/>
        <v>56</v>
      </c>
    </row>
    <row r="8" spans="1:19" ht="15" customHeight="1" thickBot="1">
      <c r="A8" s="7">
        <v>5</v>
      </c>
      <c r="B8" s="8" t="s">
        <v>154</v>
      </c>
      <c r="C8" s="8">
        <v>1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3</v>
      </c>
      <c r="K8" s="8">
        <v>0</v>
      </c>
      <c r="L8" s="8">
        <v>0</v>
      </c>
      <c r="M8" s="8">
        <v>17</v>
      </c>
      <c r="N8" s="8">
        <v>4</v>
      </c>
      <c r="O8" s="8">
        <v>22</v>
      </c>
      <c r="P8" s="8">
        <v>0</v>
      </c>
      <c r="Q8" s="8">
        <v>12</v>
      </c>
      <c r="R8" s="8">
        <v>0</v>
      </c>
      <c r="S8" s="1">
        <f t="shared" si="0"/>
        <v>59</v>
      </c>
    </row>
    <row r="9" spans="1:19" ht="15" customHeight="1" thickBot="1">
      <c r="A9" s="7">
        <v>6</v>
      </c>
      <c r="B9" s="8" t="s">
        <v>155</v>
      </c>
      <c r="C9" s="8">
        <v>1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3</v>
      </c>
      <c r="K9" s="8">
        <v>0</v>
      </c>
      <c r="L9" s="8">
        <v>0</v>
      </c>
      <c r="M9" s="8">
        <v>16</v>
      </c>
      <c r="N9" s="8">
        <v>6</v>
      </c>
      <c r="O9" s="8">
        <v>26</v>
      </c>
      <c r="P9" s="8">
        <v>0</v>
      </c>
      <c r="Q9" s="8">
        <v>11</v>
      </c>
      <c r="R9" s="8">
        <v>0</v>
      </c>
      <c r="S9" s="1">
        <f t="shared" si="0"/>
        <v>63</v>
      </c>
    </row>
    <row r="10" spans="1:19" ht="15" customHeight="1" thickBot="1">
      <c r="A10" s="7">
        <v>7</v>
      </c>
      <c r="B10" s="8" t="s">
        <v>156</v>
      </c>
      <c r="C10" s="8">
        <v>1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1</v>
      </c>
      <c r="K10" s="8">
        <v>0</v>
      </c>
      <c r="L10" s="8">
        <v>0</v>
      </c>
      <c r="M10" s="8">
        <v>15</v>
      </c>
      <c r="N10" s="8">
        <v>7</v>
      </c>
      <c r="O10" s="8">
        <v>22</v>
      </c>
      <c r="P10" s="8">
        <v>0</v>
      </c>
      <c r="Q10" s="8">
        <v>12</v>
      </c>
      <c r="R10" s="8">
        <v>0</v>
      </c>
      <c r="S10" s="1">
        <f t="shared" si="0"/>
        <v>58</v>
      </c>
    </row>
    <row r="11" spans="1:19" ht="15" customHeight="1" thickBot="1">
      <c r="A11" s="7">
        <v>8</v>
      </c>
      <c r="B11" s="8" t="s">
        <v>157</v>
      </c>
      <c r="C11" s="8">
        <v>1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2</v>
      </c>
      <c r="K11" s="8">
        <v>0</v>
      </c>
      <c r="L11" s="8">
        <v>0</v>
      </c>
      <c r="M11" s="8">
        <v>16</v>
      </c>
      <c r="N11" s="8">
        <v>8</v>
      </c>
      <c r="O11" s="8">
        <v>24</v>
      </c>
      <c r="P11" s="8">
        <v>1</v>
      </c>
      <c r="Q11" s="8">
        <v>12</v>
      </c>
      <c r="R11" s="8">
        <v>0</v>
      </c>
      <c r="S11" s="1">
        <f t="shared" si="0"/>
        <v>64</v>
      </c>
    </row>
    <row r="12" spans="1:19" ht="15" customHeight="1" thickBot="1">
      <c r="A12" s="7">
        <v>9</v>
      </c>
      <c r="B12" s="8" t="s">
        <v>158</v>
      </c>
      <c r="C12" s="8">
        <v>1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2</v>
      </c>
      <c r="K12" s="8">
        <v>0</v>
      </c>
      <c r="L12" s="8">
        <v>0</v>
      </c>
      <c r="M12" s="8">
        <v>16</v>
      </c>
      <c r="N12" s="8">
        <v>8</v>
      </c>
      <c r="O12" s="8">
        <v>27</v>
      </c>
      <c r="P12" s="8">
        <v>1</v>
      </c>
      <c r="Q12" s="8">
        <v>11</v>
      </c>
      <c r="R12" s="8">
        <v>0</v>
      </c>
      <c r="S12" s="1">
        <f t="shared" si="0"/>
        <v>66</v>
      </c>
    </row>
    <row r="13" spans="1:19" ht="15" customHeight="1" thickBot="1">
      <c r="A13" s="7">
        <v>10</v>
      </c>
      <c r="B13" s="8" t="s">
        <v>159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>
        <v>8</v>
      </c>
      <c r="N13" s="8"/>
      <c r="O13" s="8">
        <v>8</v>
      </c>
      <c r="P13" s="8">
        <v>0</v>
      </c>
      <c r="Q13" s="8"/>
      <c r="R13" s="8"/>
      <c r="S13" s="1">
        <f t="shared" si="0"/>
        <v>16</v>
      </c>
    </row>
    <row r="14" spans="1:19" ht="15" customHeight="1" thickBot="1">
      <c r="A14" s="7">
        <v>11</v>
      </c>
      <c r="B14" s="8" t="s">
        <v>160</v>
      </c>
      <c r="C14" s="8">
        <v>1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2</v>
      </c>
      <c r="K14" s="8">
        <v>0</v>
      </c>
      <c r="L14" s="8">
        <v>0</v>
      </c>
      <c r="M14" s="8">
        <v>21</v>
      </c>
      <c r="N14" s="8">
        <v>9</v>
      </c>
      <c r="O14" s="8">
        <v>28</v>
      </c>
      <c r="P14" s="8">
        <v>1</v>
      </c>
      <c r="Q14" s="8">
        <v>12</v>
      </c>
      <c r="R14" s="8">
        <v>0</v>
      </c>
      <c r="S14" s="1">
        <f t="shared" si="0"/>
        <v>74</v>
      </c>
    </row>
    <row r="15" spans="1:19" ht="15" customHeight="1" thickBot="1">
      <c r="A15" s="7">
        <v>12</v>
      </c>
      <c r="B15" s="8" t="s">
        <v>161</v>
      </c>
      <c r="C15" s="8">
        <v>1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2</v>
      </c>
      <c r="K15" s="8">
        <v>0</v>
      </c>
      <c r="L15" s="8">
        <v>0</v>
      </c>
      <c r="M15" s="8">
        <v>20</v>
      </c>
      <c r="N15" s="8">
        <v>6</v>
      </c>
      <c r="O15" s="8">
        <v>28</v>
      </c>
      <c r="P15" s="8">
        <v>1</v>
      </c>
      <c r="Q15" s="8">
        <v>13</v>
      </c>
      <c r="R15" s="8">
        <v>0</v>
      </c>
      <c r="S15" s="1">
        <f t="shared" si="0"/>
        <v>71</v>
      </c>
    </row>
    <row r="16" spans="1:19" ht="15" customHeight="1" thickBot="1">
      <c r="A16" s="7">
        <v>13</v>
      </c>
      <c r="B16" s="8" t="s">
        <v>162</v>
      </c>
      <c r="C16" s="8">
        <v>1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1</v>
      </c>
      <c r="K16" s="8">
        <v>0</v>
      </c>
      <c r="L16" s="8">
        <v>0</v>
      </c>
      <c r="M16" s="8">
        <v>19</v>
      </c>
      <c r="N16" s="8">
        <v>6</v>
      </c>
      <c r="O16" s="8">
        <v>25</v>
      </c>
      <c r="P16" s="8">
        <v>1</v>
      </c>
      <c r="Q16" s="8">
        <v>10</v>
      </c>
      <c r="R16" s="8">
        <v>0</v>
      </c>
      <c r="S16" s="1">
        <f t="shared" si="0"/>
        <v>63</v>
      </c>
    </row>
    <row r="17" spans="1:19" ht="15" customHeight="1" thickBot="1">
      <c r="A17" s="7">
        <v>14</v>
      </c>
      <c r="B17" s="8" t="s">
        <v>163</v>
      </c>
      <c r="C17" s="8">
        <v>1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2</v>
      </c>
      <c r="K17" s="8">
        <v>0</v>
      </c>
      <c r="L17" s="8">
        <v>0</v>
      </c>
      <c r="M17" s="8">
        <v>23</v>
      </c>
      <c r="N17" s="8">
        <v>8</v>
      </c>
      <c r="O17" s="8">
        <v>29</v>
      </c>
      <c r="P17" s="8">
        <v>1</v>
      </c>
      <c r="Q17" s="8">
        <v>11</v>
      </c>
      <c r="R17" s="8">
        <v>0</v>
      </c>
      <c r="S17" s="1">
        <f t="shared" si="0"/>
        <v>75</v>
      </c>
    </row>
    <row r="18" spans="1:19" ht="15" customHeight="1" thickBot="1">
      <c r="A18" s="7">
        <v>15</v>
      </c>
      <c r="B18" s="8" t="s">
        <v>164</v>
      </c>
      <c r="C18" s="8">
        <v>1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2</v>
      </c>
      <c r="K18" s="8">
        <v>0</v>
      </c>
      <c r="L18" s="8">
        <v>0</v>
      </c>
      <c r="M18" s="8">
        <v>24</v>
      </c>
      <c r="N18" s="8">
        <v>6</v>
      </c>
      <c r="O18" s="8">
        <v>26</v>
      </c>
      <c r="P18" s="8">
        <v>1</v>
      </c>
      <c r="Q18" s="8">
        <v>13</v>
      </c>
      <c r="R18" s="8">
        <v>0</v>
      </c>
      <c r="S18" s="1">
        <f t="shared" si="0"/>
        <v>73</v>
      </c>
    </row>
    <row r="19" spans="1:19" ht="15" customHeight="1" thickBot="1">
      <c r="A19" s="7">
        <v>16</v>
      </c>
      <c r="B19" s="8" t="s">
        <v>165</v>
      </c>
      <c r="C19" s="8">
        <v>1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2</v>
      </c>
      <c r="K19" s="8">
        <v>0</v>
      </c>
      <c r="L19" s="8">
        <v>0</v>
      </c>
      <c r="M19" s="8">
        <v>29</v>
      </c>
      <c r="N19" s="8">
        <v>8</v>
      </c>
      <c r="O19" s="8">
        <v>24</v>
      </c>
      <c r="P19" s="8">
        <v>6</v>
      </c>
      <c r="Q19" s="8">
        <v>12</v>
      </c>
      <c r="R19" s="8">
        <v>0</v>
      </c>
      <c r="S19" s="1">
        <f t="shared" si="0"/>
        <v>82</v>
      </c>
    </row>
    <row r="20" spans="1:19" ht="15" customHeight="1" thickBot="1">
      <c r="A20" s="7">
        <v>17</v>
      </c>
      <c r="B20" s="8" t="s">
        <v>166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1">
        <f t="shared" si="0"/>
        <v>0</v>
      </c>
    </row>
    <row r="21" spans="1:19" ht="15" customHeight="1" thickBot="1">
      <c r="A21" s="7">
        <v>18</v>
      </c>
      <c r="B21" s="8" t="s">
        <v>167</v>
      </c>
      <c r="C21" s="8">
        <v>1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2</v>
      </c>
      <c r="K21" s="8">
        <v>0</v>
      </c>
      <c r="L21" s="8">
        <v>0</v>
      </c>
      <c r="M21" s="8">
        <v>26</v>
      </c>
      <c r="N21" s="8">
        <v>5</v>
      </c>
      <c r="O21" s="8">
        <v>26</v>
      </c>
      <c r="P21" s="8">
        <v>1</v>
      </c>
      <c r="Q21" s="8">
        <v>22</v>
      </c>
      <c r="R21" s="8">
        <v>0</v>
      </c>
      <c r="S21" s="1">
        <f t="shared" si="0"/>
        <v>83</v>
      </c>
    </row>
    <row r="22" spans="1:19" ht="15" customHeight="1" thickBot="1">
      <c r="A22" s="7">
        <v>19</v>
      </c>
      <c r="B22" s="8" t="s">
        <v>168</v>
      </c>
      <c r="C22" s="8">
        <v>1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13</v>
      </c>
      <c r="N22" s="8">
        <v>7</v>
      </c>
      <c r="O22" s="8">
        <v>24</v>
      </c>
      <c r="P22" s="8">
        <v>1</v>
      </c>
      <c r="Q22" s="8">
        <v>23</v>
      </c>
      <c r="R22" s="8">
        <v>0</v>
      </c>
      <c r="S22" s="1">
        <f t="shared" si="0"/>
        <v>69</v>
      </c>
    </row>
    <row r="23" spans="1:19" ht="15" customHeight="1" thickBot="1">
      <c r="A23" s="7">
        <v>20</v>
      </c>
      <c r="B23" s="8" t="s">
        <v>169</v>
      </c>
      <c r="C23" s="8">
        <v>1</v>
      </c>
      <c r="D23" s="8">
        <v>0</v>
      </c>
      <c r="E23" s="8">
        <v>0</v>
      </c>
      <c r="F23" s="8">
        <v>0</v>
      </c>
      <c r="G23" s="8">
        <v>3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20</v>
      </c>
      <c r="N23" s="8">
        <v>9</v>
      </c>
      <c r="O23" s="8">
        <v>23</v>
      </c>
      <c r="P23" s="8">
        <v>1</v>
      </c>
      <c r="Q23" s="8">
        <v>24</v>
      </c>
      <c r="R23" s="8">
        <v>0</v>
      </c>
      <c r="S23" s="1">
        <f t="shared" si="0"/>
        <v>81</v>
      </c>
    </row>
    <row r="24" spans="1:19" ht="15" customHeight="1" thickBot="1">
      <c r="A24" s="7">
        <v>21</v>
      </c>
      <c r="B24" s="8" t="s">
        <v>170</v>
      </c>
      <c r="C24" s="8">
        <v>1</v>
      </c>
      <c r="D24" s="8">
        <v>0</v>
      </c>
      <c r="E24" s="8">
        <v>0</v>
      </c>
      <c r="F24" s="8">
        <v>0</v>
      </c>
      <c r="G24" s="8">
        <v>2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28</v>
      </c>
      <c r="N24" s="8">
        <v>8</v>
      </c>
      <c r="O24" s="8">
        <v>19</v>
      </c>
      <c r="P24" s="8">
        <v>1</v>
      </c>
      <c r="Q24" s="8">
        <v>24</v>
      </c>
      <c r="R24" s="8">
        <v>0</v>
      </c>
      <c r="S24" s="1">
        <f t="shared" si="0"/>
        <v>83</v>
      </c>
    </row>
    <row r="25" spans="1:19" ht="15" customHeight="1" thickBot="1">
      <c r="A25" s="7">
        <v>22</v>
      </c>
      <c r="B25" s="8" t="s">
        <v>171</v>
      </c>
      <c r="C25" s="8">
        <v>1</v>
      </c>
      <c r="D25" s="8">
        <v>0</v>
      </c>
      <c r="E25" s="8">
        <v>0</v>
      </c>
      <c r="F25" s="8">
        <v>0</v>
      </c>
      <c r="G25" s="8">
        <v>2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30</v>
      </c>
      <c r="N25" s="8">
        <v>8</v>
      </c>
      <c r="O25" s="8">
        <v>22</v>
      </c>
      <c r="P25" s="8">
        <v>2</v>
      </c>
      <c r="Q25" s="8">
        <v>15</v>
      </c>
      <c r="R25" s="8">
        <v>2</v>
      </c>
      <c r="S25" s="1">
        <f t="shared" si="0"/>
        <v>82</v>
      </c>
    </row>
    <row r="26" spans="1:19" ht="15" customHeight="1" thickBot="1">
      <c r="A26" s="7">
        <v>23</v>
      </c>
      <c r="B26" s="8" t="s">
        <v>172</v>
      </c>
      <c r="C26" s="8">
        <v>1</v>
      </c>
      <c r="D26" s="8">
        <v>0</v>
      </c>
      <c r="E26" s="8">
        <v>0</v>
      </c>
      <c r="F26" s="8">
        <v>0</v>
      </c>
      <c r="G26" s="8">
        <v>2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27</v>
      </c>
      <c r="N26" s="8">
        <v>11</v>
      </c>
      <c r="O26" s="8">
        <v>28</v>
      </c>
      <c r="P26" s="8">
        <v>3</v>
      </c>
      <c r="Q26" s="8">
        <v>24</v>
      </c>
      <c r="R26" s="8">
        <v>0</v>
      </c>
      <c r="S26" s="1">
        <f t="shared" si="0"/>
        <v>96</v>
      </c>
    </row>
    <row r="27" spans="1:19" ht="15" customHeight="1" thickBot="1">
      <c r="A27" s="7">
        <v>24</v>
      </c>
      <c r="B27" s="8" t="s">
        <v>173</v>
      </c>
      <c r="C27" s="8">
        <v>1</v>
      </c>
      <c r="D27" s="8">
        <v>0</v>
      </c>
      <c r="E27" s="8">
        <v>0</v>
      </c>
      <c r="F27" s="8">
        <v>0</v>
      </c>
      <c r="G27" s="8">
        <v>2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25</v>
      </c>
      <c r="N27" s="8">
        <v>0</v>
      </c>
      <c r="O27" s="8">
        <v>16</v>
      </c>
      <c r="P27" s="8">
        <v>0</v>
      </c>
      <c r="Q27" s="8">
        <v>13</v>
      </c>
      <c r="R27" s="8">
        <v>0</v>
      </c>
      <c r="S27" s="1">
        <f t="shared" si="0"/>
        <v>57</v>
      </c>
    </row>
    <row r="28" spans="1:19" ht="15" customHeight="1" thickBot="1">
      <c r="A28" s="7">
        <v>25</v>
      </c>
      <c r="B28" s="8" t="s">
        <v>174</v>
      </c>
      <c r="C28" s="8">
        <v>1</v>
      </c>
      <c r="D28" s="8">
        <v>0</v>
      </c>
      <c r="E28" s="8">
        <v>0</v>
      </c>
      <c r="F28" s="8">
        <v>0</v>
      </c>
      <c r="G28" s="8">
        <v>3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28</v>
      </c>
      <c r="N28" s="8">
        <v>7</v>
      </c>
      <c r="O28" s="8">
        <v>26</v>
      </c>
      <c r="P28" s="8">
        <v>1</v>
      </c>
      <c r="Q28" s="8">
        <v>18</v>
      </c>
      <c r="R28" s="8">
        <v>0</v>
      </c>
      <c r="S28" s="1">
        <f t="shared" si="0"/>
        <v>84</v>
      </c>
    </row>
    <row r="29" spans="1:19" ht="15" customHeight="1" thickBot="1">
      <c r="A29" s="7">
        <v>26</v>
      </c>
      <c r="B29" s="8" t="s">
        <v>175</v>
      </c>
      <c r="C29" s="8">
        <v>1</v>
      </c>
      <c r="D29" s="8">
        <v>0</v>
      </c>
      <c r="E29" s="8">
        <v>0</v>
      </c>
      <c r="F29" s="8">
        <v>0</v>
      </c>
      <c r="G29" s="8">
        <v>3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26</v>
      </c>
      <c r="N29" s="8">
        <v>5</v>
      </c>
      <c r="O29" s="8">
        <v>23</v>
      </c>
      <c r="P29" s="8">
        <v>0</v>
      </c>
      <c r="Q29" s="8">
        <v>16</v>
      </c>
      <c r="R29" s="8">
        <v>0</v>
      </c>
      <c r="S29" s="1">
        <f t="shared" si="0"/>
        <v>74</v>
      </c>
    </row>
    <row r="30" spans="1:19" ht="15" customHeight="1" thickBot="1">
      <c r="A30" s="7">
        <v>27</v>
      </c>
      <c r="B30" s="8" t="s">
        <v>176</v>
      </c>
      <c r="C30" s="8">
        <v>1</v>
      </c>
      <c r="D30" s="8">
        <v>0</v>
      </c>
      <c r="E30" s="8">
        <v>0</v>
      </c>
      <c r="F30" s="8">
        <v>0</v>
      </c>
      <c r="G30" s="8">
        <v>2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17</v>
      </c>
      <c r="N30" s="8">
        <v>0</v>
      </c>
      <c r="O30" s="8">
        <v>25</v>
      </c>
      <c r="P30" s="8">
        <v>0</v>
      </c>
      <c r="Q30" s="8">
        <v>10</v>
      </c>
      <c r="R30" s="8">
        <v>0</v>
      </c>
      <c r="S30" s="1">
        <f t="shared" si="0"/>
        <v>55</v>
      </c>
    </row>
    <row r="31" spans="1:19" ht="15" customHeight="1" thickBot="1">
      <c r="A31" s="7">
        <v>28</v>
      </c>
      <c r="B31" s="8" t="s">
        <v>177</v>
      </c>
      <c r="C31" s="8">
        <v>1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14</v>
      </c>
      <c r="N31" s="8">
        <v>0</v>
      </c>
      <c r="O31" s="8">
        <v>22</v>
      </c>
      <c r="P31" s="8">
        <v>0</v>
      </c>
      <c r="Q31" s="8">
        <v>8</v>
      </c>
      <c r="R31" s="8">
        <v>0</v>
      </c>
      <c r="S31" s="1">
        <f t="shared" si="0"/>
        <v>45</v>
      </c>
    </row>
    <row r="32" spans="1:19" ht="15" customHeight="1" thickBot="1">
      <c r="A32" s="7">
        <v>29</v>
      </c>
      <c r="B32" s="8" t="s">
        <v>178</v>
      </c>
      <c r="C32" s="8">
        <v>1</v>
      </c>
      <c r="D32" s="8">
        <v>0</v>
      </c>
      <c r="E32" s="8">
        <v>0</v>
      </c>
      <c r="F32" s="8">
        <v>0</v>
      </c>
      <c r="G32" s="8">
        <v>2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14</v>
      </c>
      <c r="N32" s="8">
        <v>0</v>
      </c>
      <c r="O32" s="8">
        <v>24</v>
      </c>
      <c r="P32" s="8">
        <v>0</v>
      </c>
      <c r="Q32" s="8">
        <v>12</v>
      </c>
      <c r="R32" s="8">
        <v>0</v>
      </c>
      <c r="S32" s="1">
        <f t="shared" si="0"/>
        <v>53</v>
      </c>
    </row>
    <row r="33" spans="1:19" ht="15" customHeight="1" thickBot="1">
      <c r="A33" s="7">
        <v>30</v>
      </c>
      <c r="B33" s="8" t="s">
        <v>179</v>
      </c>
      <c r="C33" s="8">
        <v>1</v>
      </c>
      <c r="D33" s="8">
        <v>0</v>
      </c>
      <c r="E33" s="8">
        <v>0</v>
      </c>
      <c r="F33" s="8">
        <v>0</v>
      </c>
      <c r="G33" s="8">
        <v>3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23</v>
      </c>
      <c r="N33" s="8">
        <v>0</v>
      </c>
      <c r="O33" s="8">
        <v>28</v>
      </c>
      <c r="P33" s="8">
        <v>0</v>
      </c>
      <c r="Q33" s="8">
        <v>15</v>
      </c>
      <c r="R33" s="8">
        <v>0</v>
      </c>
      <c r="S33" s="1">
        <f t="shared" si="0"/>
        <v>70</v>
      </c>
    </row>
    <row r="34" spans="1:19" ht="15" customHeight="1" thickBot="1">
      <c r="A34" s="7">
        <v>31</v>
      </c>
      <c r="B34" s="8" t="s">
        <v>180</v>
      </c>
      <c r="C34" s="8">
        <v>1</v>
      </c>
      <c r="D34" s="8">
        <v>0</v>
      </c>
      <c r="E34" s="8">
        <v>0</v>
      </c>
      <c r="F34" s="8">
        <v>0</v>
      </c>
      <c r="G34" s="8">
        <v>2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18</v>
      </c>
      <c r="N34" s="8">
        <v>0</v>
      </c>
      <c r="O34" s="8">
        <v>15</v>
      </c>
      <c r="P34" s="8">
        <v>0</v>
      </c>
      <c r="Q34" s="8">
        <v>10</v>
      </c>
      <c r="R34" s="8">
        <v>0</v>
      </c>
      <c r="S34" s="1">
        <f t="shared" si="0"/>
        <v>46</v>
      </c>
    </row>
    <row r="35" spans="1:19" ht="15" customHeight="1" thickBot="1">
      <c r="A35" s="4"/>
      <c r="B35" s="5"/>
      <c r="C35" s="8">
        <f>SUM(C4:C34)</f>
        <v>27</v>
      </c>
      <c r="D35" s="8">
        <f t="shared" ref="D35:S35" si="1">SUM(D4:D33)</f>
        <v>0</v>
      </c>
      <c r="E35" s="8">
        <f t="shared" si="1"/>
        <v>0</v>
      </c>
      <c r="F35" s="8">
        <f t="shared" si="1"/>
        <v>0</v>
      </c>
      <c r="G35" s="8">
        <f>SUM(G4:G34)</f>
        <v>26</v>
      </c>
      <c r="H35" s="8">
        <f t="shared" si="1"/>
        <v>0</v>
      </c>
      <c r="I35" s="8">
        <f t="shared" si="1"/>
        <v>0</v>
      </c>
      <c r="J35" s="8">
        <f t="shared" si="1"/>
        <v>28</v>
      </c>
      <c r="K35" s="8">
        <f t="shared" si="1"/>
        <v>0</v>
      </c>
      <c r="L35" s="8">
        <f t="shared" si="1"/>
        <v>0</v>
      </c>
      <c r="M35" s="8">
        <f t="shared" ref="M35:R35" si="2">SUM(M4:M34)</f>
        <v>574</v>
      </c>
      <c r="N35" s="8">
        <f t="shared" si="2"/>
        <v>149</v>
      </c>
      <c r="O35" s="8">
        <f t="shared" si="2"/>
        <v>655</v>
      </c>
      <c r="P35" s="8">
        <f t="shared" si="2"/>
        <v>27</v>
      </c>
      <c r="Q35" s="8">
        <f t="shared" si="2"/>
        <v>381</v>
      </c>
      <c r="R35" s="8">
        <f t="shared" si="2"/>
        <v>2</v>
      </c>
      <c r="S35" s="8">
        <f t="shared" si="1"/>
        <v>1823</v>
      </c>
    </row>
    <row r="37" spans="1:19" ht="15" customHeight="1">
      <c r="S37">
        <f>682-639</f>
        <v>43</v>
      </c>
    </row>
  </sheetData>
  <mergeCells count="9">
    <mergeCell ref="A1:R1"/>
    <mergeCell ref="C2:D2"/>
    <mergeCell ref="E2:F2"/>
    <mergeCell ref="G2:H2"/>
    <mergeCell ref="I2:J2"/>
    <mergeCell ref="K2:L2"/>
    <mergeCell ref="M2:N2"/>
    <mergeCell ref="O2:P2"/>
    <mergeCell ref="Q2:R2"/>
  </mergeCells>
  <hyperlinks>
    <hyperlink ref="A2" r:id="rId1" xr:uid="{00000000-0004-0000-0E00-000000000000}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3D87E-EAAE-44E3-835F-F64DDB324DCF}">
  <dimension ref="A1:Z34"/>
  <sheetViews>
    <sheetView tabSelected="1" topLeftCell="A25" workbookViewId="0">
      <selection activeCell="W7" sqref="W7"/>
    </sheetView>
  </sheetViews>
  <sheetFormatPr defaultRowHeight="15"/>
  <cols>
    <col min="1" max="1" width="4.85546875" bestFit="1" customWidth="1"/>
    <col min="2" max="2" width="8.140625" bestFit="1" customWidth="1"/>
    <col min="3" max="3" width="4.28515625" bestFit="1" customWidth="1"/>
    <col min="4" max="4" width="5.85546875" bestFit="1" customWidth="1"/>
    <col min="5" max="5" width="4.28515625" bestFit="1" customWidth="1"/>
    <col min="6" max="6" width="5.85546875" bestFit="1" customWidth="1"/>
    <col min="7" max="7" width="4.28515625" bestFit="1" customWidth="1"/>
    <col min="8" max="8" width="5.85546875" bestFit="1" customWidth="1"/>
    <col min="9" max="9" width="4.28515625" bestFit="1" customWidth="1"/>
    <col min="10" max="10" width="5.85546875" bestFit="1" customWidth="1"/>
    <col min="11" max="11" width="4.28515625" bestFit="1" customWidth="1"/>
    <col min="12" max="12" width="5.85546875" bestFit="1" customWidth="1"/>
    <col min="13" max="13" width="4.28515625" bestFit="1" customWidth="1"/>
    <col min="14" max="14" width="5.85546875" bestFit="1" customWidth="1"/>
    <col min="15" max="15" width="4.28515625" bestFit="1" customWidth="1"/>
    <col min="16" max="16" width="5.85546875" bestFit="1" customWidth="1"/>
    <col min="17" max="17" width="4.28515625" bestFit="1" customWidth="1"/>
    <col min="18" max="18" width="5.85546875" bestFit="1" customWidth="1"/>
    <col min="19" max="19" width="5" bestFit="1" customWidth="1"/>
    <col min="20" max="20" width="5.85546875" bestFit="1" customWidth="1"/>
    <col min="21" max="21" width="6.5703125" bestFit="1" customWidth="1"/>
  </cols>
  <sheetData>
    <row r="1" spans="1:21" ht="19.5" thickBot="1">
      <c r="A1" s="43" t="s">
        <v>213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1"/>
    </row>
    <row r="2" spans="1:21" ht="15.75" thickBot="1">
      <c r="A2" s="20" t="s">
        <v>1</v>
      </c>
      <c r="B2" s="21" t="s">
        <v>2</v>
      </c>
      <c r="C2" s="44" t="s">
        <v>3</v>
      </c>
      <c r="D2" s="45"/>
      <c r="E2" s="44" t="s">
        <v>4</v>
      </c>
      <c r="F2" s="45"/>
      <c r="G2" s="41" t="s">
        <v>149</v>
      </c>
      <c r="H2" s="42"/>
      <c r="I2" s="44" t="s">
        <v>6</v>
      </c>
      <c r="J2" s="45"/>
      <c r="K2" s="44" t="s">
        <v>7</v>
      </c>
      <c r="L2" s="45"/>
      <c r="M2" s="44" t="s">
        <v>8</v>
      </c>
      <c r="N2" s="45"/>
      <c r="O2" s="44" t="s">
        <v>9</v>
      </c>
      <c r="P2" s="45"/>
      <c r="Q2" s="44" t="s">
        <v>10</v>
      </c>
      <c r="R2" s="45"/>
      <c r="S2" s="44" t="s">
        <v>11</v>
      </c>
      <c r="T2" s="45"/>
      <c r="U2" s="1" t="s">
        <v>80</v>
      </c>
    </row>
    <row r="3" spans="1:21" ht="15.75" thickBot="1">
      <c r="A3" s="4"/>
      <c r="B3" s="5"/>
      <c r="C3" s="6" t="s">
        <v>12</v>
      </c>
      <c r="D3" s="6" t="s">
        <v>13</v>
      </c>
      <c r="E3" s="6" t="s">
        <v>12</v>
      </c>
      <c r="F3" s="6" t="s">
        <v>13</v>
      </c>
      <c r="G3" s="6" t="s">
        <v>12</v>
      </c>
      <c r="H3" s="6" t="s">
        <v>13</v>
      </c>
      <c r="I3" s="6" t="s">
        <v>12</v>
      </c>
      <c r="J3" s="6" t="s">
        <v>13</v>
      </c>
      <c r="K3" s="6" t="s">
        <v>12</v>
      </c>
      <c r="L3" s="6" t="s">
        <v>13</v>
      </c>
      <c r="M3" s="6" t="s">
        <v>12</v>
      </c>
      <c r="N3" s="6" t="s">
        <v>13</v>
      </c>
      <c r="O3" s="6" t="s">
        <v>12</v>
      </c>
      <c r="P3" s="6" t="s">
        <v>13</v>
      </c>
      <c r="Q3" s="6" t="s">
        <v>12</v>
      </c>
      <c r="R3" s="6" t="s">
        <v>13</v>
      </c>
      <c r="S3" s="6" t="s">
        <v>12</v>
      </c>
      <c r="T3" s="6" t="s">
        <v>13</v>
      </c>
      <c r="U3" s="1"/>
    </row>
    <row r="4" spans="1:21" ht="15.75" thickBot="1">
      <c r="A4" s="7">
        <v>1</v>
      </c>
      <c r="B4" s="8" t="s">
        <v>183</v>
      </c>
      <c r="C4" s="8">
        <v>0</v>
      </c>
      <c r="D4" s="8">
        <v>0</v>
      </c>
      <c r="E4" s="8">
        <v>0</v>
      </c>
      <c r="F4" s="8">
        <v>0</v>
      </c>
      <c r="G4" s="8">
        <v>2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13</v>
      </c>
      <c r="N4" s="8">
        <v>0</v>
      </c>
      <c r="O4" s="8">
        <v>12</v>
      </c>
      <c r="P4" s="8">
        <v>0</v>
      </c>
      <c r="Q4" s="8">
        <v>8</v>
      </c>
      <c r="R4" s="8">
        <v>0</v>
      </c>
      <c r="S4" s="8">
        <v>67</v>
      </c>
      <c r="T4" s="8">
        <v>0</v>
      </c>
      <c r="U4" s="1">
        <f t="shared" ref="U4:U33" si="0">SUM(C4:T4)</f>
        <v>102</v>
      </c>
    </row>
    <row r="5" spans="1:21" ht="15.75" thickBot="1">
      <c r="A5" s="7">
        <v>2</v>
      </c>
      <c r="B5" s="8" t="s">
        <v>184</v>
      </c>
      <c r="C5" s="8">
        <v>0</v>
      </c>
      <c r="D5" s="8">
        <v>0</v>
      </c>
      <c r="E5" s="8">
        <v>0</v>
      </c>
      <c r="F5" s="8">
        <v>0</v>
      </c>
      <c r="G5" s="8">
        <v>2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11</v>
      </c>
      <c r="N5" s="8">
        <v>0</v>
      </c>
      <c r="O5" s="8">
        <v>11</v>
      </c>
      <c r="P5" s="8">
        <v>0</v>
      </c>
      <c r="Q5" s="8">
        <v>8</v>
      </c>
      <c r="R5" s="8">
        <v>0</v>
      </c>
      <c r="S5" s="8">
        <v>66</v>
      </c>
      <c r="T5" s="8">
        <v>0</v>
      </c>
      <c r="U5" s="1">
        <f t="shared" si="0"/>
        <v>98</v>
      </c>
    </row>
    <row r="6" spans="1:21" ht="15.75" thickBot="1">
      <c r="A6" s="7">
        <v>3</v>
      </c>
      <c r="B6" s="8" t="s">
        <v>185</v>
      </c>
      <c r="C6" s="8">
        <v>0</v>
      </c>
      <c r="D6" s="8">
        <v>0</v>
      </c>
      <c r="E6" s="8">
        <v>0</v>
      </c>
      <c r="F6" s="8">
        <v>0</v>
      </c>
      <c r="G6" s="8">
        <v>3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15</v>
      </c>
      <c r="N6" s="8">
        <v>0</v>
      </c>
      <c r="O6" s="8">
        <v>13</v>
      </c>
      <c r="P6" s="8">
        <v>0</v>
      </c>
      <c r="Q6" s="8">
        <v>10</v>
      </c>
      <c r="R6" s="8">
        <v>0</v>
      </c>
      <c r="S6" s="8">
        <v>64</v>
      </c>
      <c r="T6" s="8">
        <v>0</v>
      </c>
      <c r="U6" s="1">
        <f t="shared" si="0"/>
        <v>105</v>
      </c>
    </row>
    <row r="7" spans="1:21" ht="15.75" thickBot="1">
      <c r="A7" s="7">
        <v>4</v>
      </c>
      <c r="B7" s="8" t="s">
        <v>186</v>
      </c>
      <c r="C7" s="8">
        <v>0</v>
      </c>
      <c r="D7" s="8">
        <v>0</v>
      </c>
      <c r="E7" s="8">
        <v>0</v>
      </c>
      <c r="F7" s="8">
        <v>0</v>
      </c>
      <c r="G7" s="8">
        <v>3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13</v>
      </c>
      <c r="N7" s="8">
        <v>0</v>
      </c>
      <c r="O7" s="8">
        <v>13</v>
      </c>
      <c r="P7" s="8">
        <v>0</v>
      </c>
      <c r="Q7" s="8">
        <v>10</v>
      </c>
      <c r="R7" s="8">
        <v>0</v>
      </c>
      <c r="S7" s="8">
        <v>68</v>
      </c>
      <c r="T7" s="8">
        <v>0</v>
      </c>
      <c r="U7" s="1">
        <f t="shared" si="0"/>
        <v>107</v>
      </c>
    </row>
    <row r="8" spans="1:21" ht="15.75" thickBot="1">
      <c r="A8" s="7">
        <v>5</v>
      </c>
      <c r="B8" s="8" t="s">
        <v>187</v>
      </c>
      <c r="C8" s="8">
        <v>0</v>
      </c>
      <c r="D8" s="8">
        <v>0</v>
      </c>
      <c r="E8" s="8">
        <v>0</v>
      </c>
      <c r="F8" s="8">
        <v>0</v>
      </c>
      <c r="G8" s="8">
        <v>1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12</v>
      </c>
      <c r="N8" s="8">
        <v>0</v>
      </c>
      <c r="O8" s="8">
        <v>13</v>
      </c>
      <c r="P8" s="8">
        <v>0</v>
      </c>
      <c r="Q8" s="8">
        <v>10</v>
      </c>
      <c r="R8" s="8">
        <v>0</v>
      </c>
      <c r="S8" s="8">
        <v>68</v>
      </c>
      <c r="T8" s="8">
        <v>0</v>
      </c>
      <c r="U8" s="1">
        <f t="shared" si="0"/>
        <v>104</v>
      </c>
    </row>
    <row r="9" spans="1:21" ht="15.75" thickBot="1">
      <c r="A9" s="7">
        <v>6</v>
      </c>
      <c r="B9" s="8" t="s">
        <v>188</v>
      </c>
      <c r="C9" s="8">
        <v>0</v>
      </c>
      <c r="D9" s="8">
        <v>0</v>
      </c>
      <c r="E9" s="8">
        <v>0</v>
      </c>
      <c r="F9" s="8">
        <v>0</v>
      </c>
      <c r="G9" s="8">
        <v>2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15</v>
      </c>
      <c r="N9" s="8">
        <v>0</v>
      </c>
      <c r="O9" s="8">
        <v>13</v>
      </c>
      <c r="P9" s="8">
        <v>0</v>
      </c>
      <c r="Q9" s="8">
        <v>12</v>
      </c>
      <c r="R9" s="8">
        <v>0</v>
      </c>
      <c r="S9" s="8">
        <v>67</v>
      </c>
      <c r="T9" s="8">
        <v>0</v>
      </c>
      <c r="U9" s="1">
        <f t="shared" si="0"/>
        <v>109</v>
      </c>
    </row>
    <row r="10" spans="1:21" ht="15.75" thickBot="1">
      <c r="A10" s="7">
        <v>7</v>
      </c>
      <c r="B10" s="8" t="s">
        <v>189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1">
        <f t="shared" si="0"/>
        <v>0</v>
      </c>
    </row>
    <row r="11" spans="1:21" ht="15.75" thickBot="1">
      <c r="A11" s="7">
        <v>8</v>
      </c>
      <c r="B11" s="8" t="s">
        <v>190</v>
      </c>
      <c r="C11" s="8">
        <v>0</v>
      </c>
      <c r="D11" s="8">
        <v>0</v>
      </c>
      <c r="E11" s="8">
        <v>0</v>
      </c>
      <c r="F11" s="8">
        <v>0</v>
      </c>
      <c r="G11" s="8">
        <v>3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15</v>
      </c>
      <c r="N11" s="8">
        <v>0</v>
      </c>
      <c r="O11" s="8">
        <v>14</v>
      </c>
      <c r="P11" s="8">
        <v>0</v>
      </c>
      <c r="Q11" s="8">
        <v>10</v>
      </c>
      <c r="R11" s="8">
        <v>0</v>
      </c>
      <c r="S11" s="8">
        <v>57</v>
      </c>
      <c r="T11" s="8">
        <v>0</v>
      </c>
      <c r="U11" s="1">
        <f t="shared" si="0"/>
        <v>99</v>
      </c>
    </row>
    <row r="12" spans="1:21" ht="15.75" thickBot="1">
      <c r="A12" s="7">
        <v>9</v>
      </c>
      <c r="B12" s="8" t="s">
        <v>191</v>
      </c>
      <c r="C12" s="8">
        <v>0</v>
      </c>
      <c r="D12" s="8">
        <v>0</v>
      </c>
      <c r="E12" s="8">
        <v>0</v>
      </c>
      <c r="F12" s="8">
        <v>0</v>
      </c>
      <c r="G12" s="8">
        <v>3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21</v>
      </c>
      <c r="N12" s="8">
        <v>0</v>
      </c>
      <c r="O12" s="8">
        <v>10</v>
      </c>
      <c r="P12" s="8">
        <v>0</v>
      </c>
      <c r="Q12" s="8">
        <v>9</v>
      </c>
      <c r="R12" s="8">
        <v>0</v>
      </c>
      <c r="S12" s="8">
        <v>70</v>
      </c>
      <c r="T12" s="8">
        <v>0</v>
      </c>
      <c r="U12" s="1">
        <f t="shared" si="0"/>
        <v>113</v>
      </c>
    </row>
    <row r="13" spans="1:21" ht="15.75" thickBot="1">
      <c r="A13" s="7">
        <v>10</v>
      </c>
      <c r="B13" s="8" t="s">
        <v>192</v>
      </c>
      <c r="C13" s="8">
        <v>0</v>
      </c>
      <c r="D13" s="8">
        <v>0</v>
      </c>
      <c r="E13" s="8">
        <v>0</v>
      </c>
      <c r="F13" s="8">
        <v>0</v>
      </c>
      <c r="G13" s="8">
        <v>4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22</v>
      </c>
      <c r="N13" s="8">
        <v>0</v>
      </c>
      <c r="O13" s="8">
        <v>13</v>
      </c>
      <c r="P13" s="8">
        <v>0</v>
      </c>
      <c r="Q13" s="8">
        <v>10</v>
      </c>
      <c r="R13" s="8">
        <v>0</v>
      </c>
      <c r="S13" s="8">
        <v>65</v>
      </c>
      <c r="T13" s="8">
        <v>0</v>
      </c>
      <c r="U13" s="1">
        <f t="shared" si="0"/>
        <v>114</v>
      </c>
    </row>
    <row r="14" spans="1:21" ht="15.75" thickBot="1">
      <c r="A14" s="7">
        <v>11</v>
      </c>
      <c r="B14" s="8" t="s">
        <v>193</v>
      </c>
      <c r="C14" s="8">
        <v>0</v>
      </c>
      <c r="D14" s="8">
        <v>0</v>
      </c>
      <c r="E14" s="8">
        <v>0</v>
      </c>
      <c r="F14" s="8">
        <v>0</v>
      </c>
      <c r="G14" s="8">
        <v>4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18</v>
      </c>
      <c r="N14" s="8">
        <v>0</v>
      </c>
      <c r="O14" s="8">
        <v>18</v>
      </c>
      <c r="P14" s="8">
        <v>0</v>
      </c>
      <c r="Q14" s="8">
        <v>11</v>
      </c>
      <c r="R14" s="8">
        <v>0</v>
      </c>
      <c r="S14" s="8">
        <v>67</v>
      </c>
      <c r="T14" s="8">
        <v>0</v>
      </c>
      <c r="U14" s="1">
        <f t="shared" si="0"/>
        <v>118</v>
      </c>
    </row>
    <row r="15" spans="1:21" ht="15.75" thickBot="1">
      <c r="A15" s="7">
        <v>12</v>
      </c>
      <c r="B15" s="8" t="s">
        <v>194</v>
      </c>
      <c r="C15" s="8">
        <v>0</v>
      </c>
      <c r="D15" s="8">
        <v>0</v>
      </c>
      <c r="E15" s="8">
        <v>0</v>
      </c>
      <c r="F15" s="8">
        <v>0</v>
      </c>
      <c r="G15" s="8">
        <v>4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20</v>
      </c>
      <c r="N15" s="8">
        <v>0</v>
      </c>
      <c r="O15" s="8">
        <v>18</v>
      </c>
      <c r="P15" s="8">
        <v>0</v>
      </c>
      <c r="Q15" s="8">
        <v>9</v>
      </c>
      <c r="R15" s="8">
        <v>0</v>
      </c>
      <c r="S15" s="8">
        <v>72</v>
      </c>
      <c r="T15" s="8">
        <v>0</v>
      </c>
      <c r="U15" s="1">
        <f t="shared" si="0"/>
        <v>123</v>
      </c>
    </row>
    <row r="16" spans="1:21" ht="15.75" thickBot="1">
      <c r="A16" s="7">
        <v>13</v>
      </c>
      <c r="B16" s="8" t="s">
        <v>195</v>
      </c>
      <c r="C16" s="8">
        <v>0</v>
      </c>
      <c r="D16" s="8">
        <v>0</v>
      </c>
      <c r="E16" s="8">
        <v>0</v>
      </c>
      <c r="F16" s="8">
        <v>0</v>
      </c>
      <c r="G16" s="8">
        <v>9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19</v>
      </c>
      <c r="N16" s="8">
        <v>0</v>
      </c>
      <c r="O16" s="8">
        <v>20</v>
      </c>
      <c r="P16" s="8">
        <v>0</v>
      </c>
      <c r="Q16" s="8">
        <v>9</v>
      </c>
      <c r="R16" s="8">
        <v>0</v>
      </c>
      <c r="S16" s="8">
        <v>73</v>
      </c>
      <c r="T16" s="8">
        <v>0</v>
      </c>
      <c r="U16" s="1">
        <f t="shared" si="0"/>
        <v>130</v>
      </c>
    </row>
    <row r="17" spans="1:26" ht="15.75" thickBot="1">
      <c r="A17" s="7">
        <v>14</v>
      </c>
      <c r="B17" s="8" t="s">
        <v>196</v>
      </c>
      <c r="C17" s="8">
        <v>0</v>
      </c>
      <c r="D17" s="8">
        <v>0</v>
      </c>
      <c r="E17" s="8">
        <v>0</v>
      </c>
      <c r="F17" s="8">
        <v>0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1">
        <f t="shared" si="0"/>
        <v>0</v>
      </c>
    </row>
    <row r="18" spans="1:26" ht="15.75" thickBot="1">
      <c r="A18" s="7">
        <v>15</v>
      </c>
      <c r="B18" s="8" t="s">
        <v>197</v>
      </c>
      <c r="C18" s="8">
        <v>0</v>
      </c>
      <c r="D18" s="8">
        <v>0</v>
      </c>
      <c r="E18" s="8">
        <v>0</v>
      </c>
      <c r="F18" s="8">
        <v>0</v>
      </c>
      <c r="G18" s="8">
        <v>11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17</v>
      </c>
      <c r="N18" s="8">
        <v>0</v>
      </c>
      <c r="O18" s="8">
        <v>19</v>
      </c>
      <c r="P18" s="8">
        <v>0</v>
      </c>
      <c r="Q18" s="8">
        <v>10</v>
      </c>
      <c r="R18" s="8">
        <v>0</v>
      </c>
      <c r="S18" s="8">
        <v>61</v>
      </c>
      <c r="T18" s="8">
        <v>0</v>
      </c>
      <c r="U18" s="1">
        <f t="shared" si="0"/>
        <v>118</v>
      </c>
    </row>
    <row r="19" spans="1:26" ht="15.75" thickBot="1">
      <c r="A19" s="7">
        <v>16</v>
      </c>
      <c r="B19" s="8" t="s">
        <v>198</v>
      </c>
      <c r="C19" s="8">
        <v>0</v>
      </c>
      <c r="D19" s="8">
        <v>0</v>
      </c>
      <c r="E19" s="8">
        <v>0</v>
      </c>
      <c r="F19" s="8">
        <v>0</v>
      </c>
      <c r="G19" s="8">
        <v>14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19</v>
      </c>
      <c r="N19" s="8">
        <v>0</v>
      </c>
      <c r="O19" s="8">
        <v>16</v>
      </c>
      <c r="P19" s="8">
        <v>0</v>
      </c>
      <c r="Q19" s="8">
        <v>11</v>
      </c>
      <c r="R19" s="8">
        <v>0</v>
      </c>
      <c r="S19" s="8">
        <v>63</v>
      </c>
      <c r="T19" s="8">
        <v>0</v>
      </c>
      <c r="U19" s="1">
        <f t="shared" si="0"/>
        <v>123</v>
      </c>
    </row>
    <row r="20" spans="1:26" ht="15.75" thickBot="1">
      <c r="A20" s="7">
        <v>17</v>
      </c>
      <c r="B20" s="8" t="s">
        <v>199</v>
      </c>
      <c r="C20" s="8">
        <v>0</v>
      </c>
      <c r="D20" s="8">
        <v>0</v>
      </c>
      <c r="E20" s="8">
        <v>0</v>
      </c>
      <c r="F20" s="8">
        <v>0</v>
      </c>
      <c r="G20" s="8">
        <v>16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19</v>
      </c>
      <c r="N20" s="8">
        <v>0</v>
      </c>
      <c r="O20" s="8">
        <v>18</v>
      </c>
      <c r="P20" s="8">
        <v>0</v>
      </c>
      <c r="Q20" s="8">
        <v>11</v>
      </c>
      <c r="R20" s="8">
        <v>0</v>
      </c>
      <c r="S20" s="8">
        <v>64</v>
      </c>
      <c r="T20" s="8">
        <v>0</v>
      </c>
      <c r="U20" s="1">
        <f t="shared" si="0"/>
        <v>128</v>
      </c>
    </row>
    <row r="21" spans="1:26" ht="15.75" thickBot="1">
      <c r="A21" s="7">
        <v>18</v>
      </c>
      <c r="B21" s="8" t="s">
        <v>200</v>
      </c>
      <c r="C21" s="8">
        <v>0</v>
      </c>
      <c r="D21" s="8">
        <v>0</v>
      </c>
      <c r="E21" s="8">
        <v>0</v>
      </c>
      <c r="F21" s="8">
        <v>0</v>
      </c>
      <c r="G21" s="8">
        <v>15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25</v>
      </c>
      <c r="N21" s="8">
        <v>0</v>
      </c>
      <c r="O21" s="8">
        <v>20</v>
      </c>
      <c r="P21" s="8">
        <v>0</v>
      </c>
      <c r="Q21" s="8">
        <v>11</v>
      </c>
      <c r="R21" s="8">
        <v>0</v>
      </c>
      <c r="S21" s="8">
        <v>62</v>
      </c>
      <c r="T21" s="8">
        <v>0</v>
      </c>
      <c r="U21" s="1">
        <f t="shared" si="0"/>
        <v>133</v>
      </c>
      <c r="Z21">
        <f>60+20+25+11+15</f>
        <v>131</v>
      </c>
    </row>
    <row r="22" spans="1:26" ht="15.75" thickBot="1">
      <c r="A22" s="7">
        <v>19</v>
      </c>
      <c r="B22" s="8" t="s">
        <v>201</v>
      </c>
      <c r="C22" s="8">
        <v>0</v>
      </c>
      <c r="D22" s="8">
        <v>0</v>
      </c>
      <c r="E22" s="8">
        <v>0</v>
      </c>
      <c r="F22" s="8">
        <v>0</v>
      </c>
      <c r="G22" s="8">
        <v>8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23</v>
      </c>
      <c r="N22" s="8">
        <v>0</v>
      </c>
      <c r="O22" s="8">
        <v>22</v>
      </c>
      <c r="P22" s="8">
        <v>0</v>
      </c>
      <c r="Q22" s="8">
        <v>10</v>
      </c>
      <c r="R22" s="8">
        <v>0</v>
      </c>
      <c r="S22" s="8">
        <v>66</v>
      </c>
      <c r="T22" s="8">
        <v>0</v>
      </c>
      <c r="U22" s="1">
        <f t="shared" si="0"/>
        <v>129</v>
      </c>
    </row>
    <row r="23" spans="1:26" ht="15.75" thickBot="1">
      <c r="A23" s="7">
        <v>20</v>
      </c>
      <c r="B23" s="8" t="s">
        <v>202</v>
      </c>
      <c r="C23" s="8">
        <v>0</v>
      </c>
      <c r="D23" s="8">
        <v>0</v>
      </c>
      <c r="E23" s="8">
        <v>0</v>
      </c>
      <c r="F23" s="8">
        <v>0</v>
      </c>
      <c r="G23" s="8">
        <v>11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22</v>
      </c>
      <c r="N23" s="8">
        <v>0</v>
      </c>
      <c r="O23" s="8">
        <v>20</v>
      </c>
      <c r="P23" s="8">
        <v>0</v>
      </c>
      <c r="Q23" s="8">
        <v>10</v>
      </c>
      <c r="R23" s="8">
        <v>0</v>
      </c>
      <c r="S23" s="8">
        <v>66</v>
      </c>
      <c r="T23" s="8">
        <v>0</v>
      </c>
      <c r="U23" s="1">
        <f t="shared" si="0"/>
        <v>129</v>
      </c>
    </row>
    <row r="24" spans="1:26" ht="15.75" thickBot="1">
      <c r="A24" s="7">
        <v>21</v>
      </c>
      <c r="B24" s="8" t="s">
        <v>203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1">
        <f t="shared" si="0"/>
        <v>0</v>
      </c>
    </row>
    <row r="25" spans="1:26" ht="15.75" thickBot="1">
      <c r="A25" s="7">
        <v>22</v>
      </c>
      <c r="B25" s="8" t="s">
        <v>204</v>
      </c>
      <c r="C25" s="8">
        <v>0</v>
      </c>
      <c r="D25" s="8">
        <v>0</v>
      </c>
      <c r="E25" s="8">
        <v>0</v>
      </c>
      <c r="F25" s="8">
        <v>0</v>
      </c>
      <c r="G25" s="8">
        <v>13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22</v>
      </c>
      <c r="N25" s="8">
        <v>0</v>
      </c>
      <c r="O25" s="8">
        <v>20</v>
      </c>
      <c r="P25" s="8">
        <v>0</v>
      </c>
      <c r="Q25" s="8">
        <v>14</v>
      </c>
      <c r="R25" s="8">
        <v>0</v>
      </c>
      <c r="S25" s="8">
        <v>71</v>
      </c>
      <c r="T25" s="8">
        <v>0</v>
      </c>
      <c r="U25" s="1">
        <f t="shared" si="0"/>
        <v>140</v>
      </c>
    </row>
    <row r="26" spans="1:26" ht="15.75" thickBot="1">
      <c r="A26" s="7">
        <v>23</v>
      </c>
      <c r="B26" s="8" t="s">
        <v>205</v>
      </c>
      <c r="C26" s="8">
        <v>0</v>
      </c>
      <c r="D26" s="8">
        <v>0</v>
      </c>
      <c r="E26" s="8">
        <v>0</v>
      </c>
      <c r="F26" s="8">
        <v>0</v>
      </c>
      <c r="G26" s="8">
        <v>7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22</v>
      </c>
      <c r="N26" s="8">
        <v>0</v>
      </c>
      <c r="O26" s="8">
        <v>15</v>
      </c>
      <c r="P26" s="8">
        <v>0</v>
      </c>
      <c r="Q26" s="8">
        <v>13</v>
      </c>
      <c r="R26" s="8">
        <v>0</v>
      </c>
      <c r="S26" s="8">
        <v>70</v>
      </c>
      <c r="T26" s="8">
        <v>0</v>
      </c>
      <c r="U26" s="1">
        <f t="shared" si="0"/>
        <v>127</v>
      </c>
    </row>
    <row r="27" spans="1:26" ht="15.75" thickBot="1">
      <c r="A27" s="7">
        <v>24</v>
      </c>
      <c r="B27" s="8" t="s">
        <v>206</v>
      </c>
      <c r="C27" s="8">
        <v>0</v>
      </c>
      <c r="D27" s="8">
        <v>0</v>
      </c>
      <c r="E27" s="8">
        <v>0</v>
      </c>
      <c r="F27" s="8">
        <v>0</v>
      </c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1">
        <f t="shared" si="0"/>
        <v>0</v>
      </c>
    </row>
    <row r="28" spans="1:26" ht="15.75" thickBot="1">
      <c r="A28" s="7">
        <v>25</v>
      </c>
      <c r="B28" s="8" t="s">
        <v>207</v>
      </c>
      <c r="C28" s="8">
        <v>0</v>
      </c>
      <c r="D28" s="8">
        <v>0</v>
      </c>
      <c r="E28" s="8">
        <v>0</v>
      </c>
      <c r="F28" s="8">
        <v>0</v>
      </c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1">
        <f t="shared" si="0"/>
        <v>0</v>
      </c>
    </row>
    <row r="29" spans="1:26" ht="15.75" thickBot="1">
      <c r="A29" s="7">
        <v>26</v>
      </c>
      <c r="B29" s="8" t="s">
        <v>212</v>
      </c>
      <c r="C29" s="8">
        <v>0</v>
      </c>
      <c r="D29" s="8">
        <v>0</v>
      </c>
      <c r="E29" s="8">
        <v>0</v>
      </c>
      <c r="F29" s="8">
        <v>0</v>
      </c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1">
        <f t="shared" si="0"/>
        <v>0</v>
      </c>
    </row>
    <row r="30" spans="1:26" ht="15.75" thickBot="1">
      <c r="A30" s="7">
        <v>27</v>
      </c>
      <c r="B30" s="8" t="s">
        <v>208</v>
      </c>
      <c r="C30" s="8">
        <v>0</v>
      </c>
      <c r="D30" s="8">
        <v>0</v>
      </c>
      <c r="E30" s="8">
        <v>0</v>
      </c>
      <c r="F30" s="8">
        <v>0</v>
      </c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1">
        <f t="shared" si="0"/>
        <v>0</v>
      </c>
    </row>
    <row r="31" spans="1:26" ht="15.75" thickBot="1">
      <c r="A31" s="7">
        <v>28</v>
      </c>
      <c r="B31" s="8" t="s">
        <v>209</v>
      </c>
      <c r="C31" s="8">
        <v>0</v>
      </c>
      <c r="D31" s="8">
        <v>0</v>
      </c>
      <c r="E31" s="8">
        <v>0</v>
      </c>
      <c r="F31" s="8">
        <v>0</v>
      </c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1">
        <f t="shared" si="0"/>
        <v>0</v>
      </c>
    </row>
    <row r="32" spans="1:26" ht="15.75" thickBot="1">
      <c r="A32" s="7">
        <v>29</v>
      </c>
      <c r="B32" s="8" t="s">
        <v>210</v>
      </c>
      <c r="C32" s="8">
        <v>0</v>
      </c>
      <c r="D32" s="8">
        <v>0</v>
      </c>
      <c r="E32" s="8">
        <v>0</v>
      </c>
      <c r="F32" s="8">
        <v>0</v>
      </c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1">
        <f t="shared" si="0"/>
        <v>0</v>
      </c>
    </row>
    <row r="33" spans="1:21" ht="15.75" thickBot="1">
      <c r="A33" s="7">
        <v>30</v>
      </c>
      <c r="B33" s="8" t="s">
        <v>211</v>
      </c>
      <c r="C33" s="8">
        <v>0</v>
      </c>
      <c r="D33" s="8">
        <v>0</v>
      </c>
      <c r="E33" s="8">
        <v>0</v>
      </c>
      <c r="F33" s="8">
        <v>0</v>
      </c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1">
        <f t="shared" si="0"/>
        <v>0</v>
      </c>
    </row>
    <row r="34" spans="1:21" ht="15.75" thickBot="1">
      <c r="A34" s="4"/>
      <c r="B34" s="5"/>
      <c r="C34" s="8">
        <f>SUM(C4:C33)</f>
        <v>0</v>
      </c>
      <c r="D34" s="8">
        <f t="shared" ref="D34:U34" si="1">SUM(D4:D33)</f>
        <v>0</v>
      </c>
      <c r="E34" s="8">
        <f t="shared" si="1"/>
        <v>0</v>
      </c>
      <c r="F34" s="8">
        <f t="shared" si="1"/>
        <v>0</v>
      </c>
      <c r="G34" s="8">
        <f>SUM(G4:G33)</f>
        <v>135</v>
      </c>
      <c r="H34" s="8">
        <f t="shared" si="1"/>
        <v>0</v>
      </c>
      <c r="I34" s="8">
        <f t="shared" si="1"/>
        <v>0</v>
      </c>
      <c r="J34" s="8">
        <f t="shared" si="1"/>
        <v>0</v>
      </c>
      <c r="K34" s="8">
        <f t="shared" si="1"/>
        <v>0</v>
      </c>
      <c r="L34" s="8">
        <f t="shared" si="1"/>
        <v>0</v>
      </c>
      <c r="M34" s="8">
        <f>SUM(M4:M33)</f>
        <v>363</v>
      </c>
      <c r="N34" s="8">
        <f>SUM(N4:N33)</f>
        <v>0</v>
      </c>
      <c r="O34" s="8">
        <f>SUM(O4:O33)</f>
        <v>318</v>
      </c>
      <c r="P34" s="8">
        <f t="shared" si="1"/>
        <v>0</v>
      </c>
      <c r="Q34" s="8">
        <f>SUM(Q4:Q33)</f>
        <v>206</v>
      </c>
      <c r="R34" s="8">
        <f t="shared" si="1"/>
        <v>0</v>
      </c>
      <c r="S34" s="8">
        <f>SUM(S4:S33)</f>
        <v>1327</v>
      </c>
      <c r="T34" s="8">
        <f>SUM(T4:T33)</f>
        <v>0</v>
      </c>
      <c r="U34" s="8">
        <f t="shared" si="1"/>
        <v>2349</v>
      </c>
    </row>
  </sheetData>
  <mergeCells count="10">
    <mergeCell ref="A1:T1"/>
    <mergeCell ref="C2:D2"/>
    <mergeCell ref="E2:F2"/>
    <mergeCell ref="G2:H2"/>
    <mergeCell ref="I2:J2"/>
    <mergeCell ref="K2:L2"/>
    <mergeCell ref="M2:N2"/>
    <mergeCell ref="O2:P2"/>
    <mergeCell ref="Q2:R2"/>
    <mergeCell ref="S2:T2"/>
  </mergeCells>
  <hyperlinks>
    <hyperlink ref="A2" r:id="rId1" xr:uid="{8381E683-CE11-4016-AB59-025C869F06E7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8FCC8-CD7C-4269-81C7-CF88E17CE0F7}">
  <dimension ref="A1:U34"/>
  <sheetViews>
    <sheetView topLeftCell="A13" workbookViewId="0">
      <selection activeCell="Q29" sqref="Q29"/>
    </sheetView>
  </sheetViews>
  <sheetFormatPr defaultRowHeight="15"/>
  <cols>
    <col min="1" max="1" width="4.85546875" bestFit="1" customWidth="1"/>
    <col min="2" max="2" width="8.140625" bestFit="1" customWidth="1"/>
    <col min="3" max="3" width="4.28515625" bestFit="1" customWidth="1"/>
    <col min="4" max="4" width="5.85546875" bestFit="1" customWidth="1"/>
    <col min="5" max="5" width="4.28515625" bestFit="1" customWidth="1"/>
    <col min="6" max="6" width="5.85546875" bestFit="1" customWidth="1"/>
    <col min="7" max="7" width="4.28515625" bestFit="1" customWidth="1"/>
    <col min="8" max="8" width="5.85546875" bestFit="1" customWidth="1"/>
    <col min="9" max="9" width="4.28515625" bestFit="1" customWidth="1"/>
    <col min="10" max="10" width="5.85546875" bestFit="1" customWidth="1"/>
    <col min="11" max="11" width="4.28515625" bestFit="1" customWidth="1"/>
    <col min="12" max="12" width="5.85546875" bestFit="1" customWidth="1"/>
    <col min="13" max="13" width="4.28515625" bestFit="1" customWidth="1"/>
    <col min="14" max="14" width="5.85546875" bestFit="1" customWidth="1"/>
    <col min="15" max="15" width="4.28515625" bestFit="1" customWidth="1"/>
    <col min="16" max="16" width="5.85546875" bestFit="1" customWidth="1"/>
    <col min="17" max="17" width="4.28515625" bestFit="1" customWidth="1"/>
    <col min="18" max="18" width="5.85546875" bestFit="1" customWidth="1"/>
    <col min="19" max="19" width="4.28515625" bestFit="1" customWidth="1"/>
    <col min="20" max="20" width="5.85546875" bestFit="1" customWidth="1"/>
    <col min="21" max="21" width="4" bestFit="1" customWidth="1"/>
  </cols>
  <sheetData>
    <row r="1" spans="1:21" ht="18.75">
      <c r="A1" s="48" t="s">
        <v>215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</row>
    <row r="2" spans="1:21">
      <c r="A2" s="32" t="s">
        <v>1</v>
      </c>
      <c r="B2" s="33" t="s">
        <v>2</v>
      </c>
      <c r="C2" s="56" t="s">
        <v>3</v>
      </c>
      <c r="D2" s="56"/>
      <c r="E2" s="56" t="s">
        <v>4</v>
      </c>
      <c r="F2" s="56"/>
      <c r="G2" s="57" t="s">
        <v>149</v>
      </c>
      <c r="H2" s="57"/>
      <c r="I2" s="56" t="s">
        <v>6</v>
      </c>
      <c r="J2" s="56"/>
      <c r="K2" s="56" t="s">
        <v>7</v>
      </c>
      <c r="L2" s="56"/>
      <c r="M2" s="56" t="s">
        <v>8</v>
      </c>
      <c r="N2" s="56"/>
      <c r="O2" s="56" t="s">
        <v>9</v>
      </c>
      <c r="P2" s="56"/>
      <c r="Q2" s="56" t="s">
        <v>10</v>
      </c>
      <c r="R2" s="56"/>
      <c r="S2" s="56" t="s">
        <v>11</v>
      </c>
      <c r="T2" s="56"/>
    </row>
    <row r="3" spans="1:21">
      <c r="A3" s="34"/>
      <c r="B3" s="34"/>
      <c r="C3" s="35" t="s">
        <v>12</v>
      </c>
      <c r="D3" s="35" t="s">
        <v>13</v>
      </c>
      <c r="E3" s="35" t="s">
        <v>12</v>
      </c>
      <c r="F3" s="35" t="s">
        <v>13</v>
      </c>
      <c r="G3" s="35" t="s">
        <v>12</v>
      </c>
      <c r="H3" s="35" t="s">
        <v>13</v>
      </c>
      <c r="I3" s="35" t="s">
        <v>12</v>
      </c>
      <c r="J3" s="35" t="s">
        <v>13</v>
      </c>
      <c r="K3" s="35" t="s">
        <v>12</v>
      </c>
      <c r="L3" s="35" t="s">
        <v>13</v>
      </c>
      <c r="M3" s="35" t="s">
        <v>12</v>
      </c>
      <c r="N3" s="35" t="s">
        <v>13</v>
      </c>
      <c r="O3" s="35" t="s">
        <v>12</v>
      </c>
      <c r="P3" s="35" t="s">
        <v>13</v>
      </c>
      <c r="Q3" s="35" t="s">
        <v>12</v>
      </c>
      <c r="R3" s="35" t="s">
        <v>13</v>
      </c>
      <c r="S3" s="35" t="s">
        <v>12</v>
      </c>
      <c r="T3" s="35" t="s">
        <v>13</v>
      </c>
    </row>
    <row r="4" spans="1:21">
      <c r="A4" s="18">
        <v>1</v>
      </c>
      <c r="B4" s="36" t="s">
        <v>183</v>
      </c>
      <c r="C4" s="18">
        <v>0</v>
      </c>
      <c r="D4" s="18">
        <v>0</v>
      </c>
      <c r="E4" s="18">
        <v>0</v>
      </c>
      <c r="F4" s="18">
        <v>0</v>
      </c>
      <c r="G4" s="18">
        <v>0</v>
      </c>
      <c r="H4" s="18">
        <v>0</v>
      </c>
      <c r="I4" s="18">
        <v>0</v>
      </c>
      <c r="J4" s="18">
        <v>0</v>
      </c>
      <c r="K4" s="18">
        <v>0</v>
      </c>
      <c r="L4" s="18">
        <v>0</v>
      </c>
      <c r="M4" s="18">
        <v>5</v>
      </c>
      <c r="N4" s="18">
        <v>0</v>
      </c>
      <c r="O4" s="18">
        <v>0</v>
      </c>
      <c r="P4" s="18">
        <v>0</v>
      </c>
      <c r="Q4" s="18">
        <v>4</v>
      </c>
      <c r="R4" s="18">
        <v>0</v>
      </c>
      <c r="S4" s="18">
        <v>0</v>
      </c>
      <c r="T4" s="18">
        <v>0</v>
      </c>
      <c r="U4" s="1">
        <f t="shared" ref="U4:U33" si="0">SUM(E4:T4)</f>
        <v>9</v>
      </c>
    </row>
    <row r="5" spans="1:21">
      <c r="A5" s="18">
        <v>2</v>
      </c>
      <c r="B5" s="36" t="s">
        <v>184</v>
      </c>
      <c r="C5" s="18">
        <v>0</v>
      </c>
      <c r="D5" s="18">
        <v>0</v>
      </c>
      <c r="E5" s="18">
        <v>0</v>
      </c>
      <c r="F5" s="18">
        <v>0</v>
      </c>
      <c r="G5" s="18">
        <v>0</v>
      </c>
      <c r="H5" s="18">
        <v>0</v>
      </c>
      <c r="I5" s="18">
        <v>0</v>
      </c>
      <c r="J5" s="18">
        <v>0</v>
      </c>
      <c r="K5" s="18">
        <v>0</v>
      </c>
      <c r="L5" s="18">
        <v>0</v>
      </c>
      <c r="M5" s="18">
        <v>9</v>
      </c>
      <c r="N5" s="18">
        <v>0</v>
      </c>
      <c r="O5" s="18">
        <v>0</v>
      </c>
      <c r="P5" s="18">
        <v>0</v>
      </c>
      <c r="Q5" s="18">
        <v>3</v>
      </c>
      <c r="R5" s="18">
        <v>0</v>
      </c>
      <c r="S5" s="18">
        <v>0</v>
      </c>
      <c r="T5" s="18">
        <v>0</v>
      </c>
      <c r="U5" s="1">
        <f t="shared" si="0"/>
        <v>12</v>
      </c>
    </row>
    <row r="6" spans="1:21">
      <c r="A6" s="18">
        <v>3</v>
      </c>
      <c r="B6" s="36" t="s">
        <v>185</v>
      </c>
      <c r="C6" s="18">
        <v>0</v>
      </c>
      <c r="D6" s="18">
        <v>0</v>
      </c>
      <c r="E6" s="18">
        <v>0</v>
      </c>
      <c r="F6" s="18">
        <v>0</v>
      </c>
      <c r="G6" s="18">
        <v>0</v>
      </c>
      <c r="H6" s="18">
        <v>0</v>
      </c>
      <c r="I6" s="18">
        <v>0</v>
      </c>
      <c r="J6" s="18">
        <v>0</v>
      </c>
      <c r="K6" s="18">
        <v>0</v>
      </c>
      <c r="L6" s="18">
        <v>0</v>
      </c>
      <c r="M6" s="18">
        <v>8</v>
      </c>
      <c r="N6" s="18">
        <v>0</v>
      </c>
      <c r="O6" s="18">
        <v>0</v>
      </c>
      <c r="P6" s="18">
        <v>0</v>
      </c>
      <c r="Q6" s="18">
        <v>1</v>
      </c>
      <c r="R6" s="18">
        <v>0</v>
      </c>
      <c r="S6" s="18">
        <v>0</v>
      </c>
      <c r="T6" s="18">
        <v>0</v>
      </c>
      <c r="U6" s="1">
        <f t="shared" si="0"/>
        <v>9</v>
      </c>
    </row>
    <row r="7" spans="1:21">
      <c r="A7" s="18">
        <v>4</v>
      </c>
      <c r="B7" s="36" t="s">
        <v>186</v>
      </c>
      <c r="C7" s="18">
        <v>0</v>
      </c>
      <c r="D7" s="18">
        <v>0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10</v>
      </c>
      <c r="N7" s="18">
        <v>0</v>
      </c>
      <c r="O7" s="18">
        <v>0</v>
      </c>
      <c r="P7" s="18">
        <v>0</v>
      </c>
      <c r="Q7" s="18">
        <v>4</v>
      </c>
      <c r="R7" s="18">
        <v>0</v>
      </c>
      <c r="S7" s="18">
        <v>0</v>
      </c>
      <c r="T7" s="18">
        <v>0</v>
      </c>
      <c r="U7" s="1">
        <f t="shared" si="0"/>
        <v>14</v>
      </c>
    </row>
    <row r="8" spans="1:21">
      <c r="A8" s="18">
        <v>5</v>
      </c>
      <c r="B8" s="36" t="s">
        <v>187</v>
      </c>
      <c r="C8" s="18">
        <v>0</v>
      </c>
      <c r="D8" s="18">
        <v>0</v>
      </c>
      <c r="E8" s="18">
        <v>0</v>
      </c>
      <c r="F8" s="18">
        <v>0</v>
      </c>
      <c r="G8" s="18">
        <v>0</v>
      </c>
      <c r="H8" s="18">
        <v>0</v>
      </c>
      <c r="I8" s="18">
        <v>0</v>
      </c>
      <c r="J8" s="18">
        <v>0</v>
      </c>
      <c r="K8" s="18">
        <v>0</v>
      </c>
      <c r="L8" s="18">
        <v>0</v>
      </c>
      <c r="M8" s="18">
        <v>9</v>
      </c>
      <c r="N8" s="18">
        <v>0</v>
      </c>
      <c r="O8" s="18">
        <v>0</v>
      </c>
      <c r="P8" s="18">
        <v>0</v>
      </c>
      <c r="Q8" s="18">
        <v>8</v>
      </c>
      <c r="R8" s="18">
        <v>0</v>
      </c>
      <c r="S8" s="18">
        <v>0</v>
      </c>
      <c r="T8" s="18">
        <v>0</v>
      </c>
      <c r="U8" s="1">
        <f t="shared" si="0"/>
        <v>17</v>
      </c>
    </row>
    <row r="9" spans="1:21">
      <c r="A9" s="18">
        <v>6</v>
      </c>
      <c r="B9" s="36" t="s">
        <v>188</v>
      </c>
      <c r="C9" s="18">
        <v>0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8">
        <v>0</v>
      </c>
      <c r="K9" s="18">
        <v>0</v>
      </c>
      <c r="L9" s="18">
        <v>0</v>
      </c>
      <c r="M9" s="18">
        <v>9</v>
      </c>
      <c r="N9" s="18">
        <v>0</v>
      </c>
      <c r="O9" s="18">
        <v>0</v>
      </c>
      <c r="P9" s="18">
        <v>0</v>
      </c>
      <c r="Q9" s="18">
        <v>3</v>
      </c>
      <c r="R9" s="18">
        <v>0</v>
      </c>
      <c r="S9" s="18">
        <v>0</v>
      </c>
      <c r="T9" s="18">
        <v>0</v>
      </c>
      <c r="U9" s="1">
        <f t="shared" si="0"/>
        <v>12</v>
      </c>
    </row>
    <row r="10" spans="1:21">
      <c r="A10" s="18">
        <v>7</v>
      </c>
      <c r="B10" s="36" t="s">
        <v>189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">
        <f t="shared" si="0"/>
        <v>0</v>
      </c>
    </row>
    <row r="11" spans="1:21">
      <c r="A11" s="18">
        <v>8</v>
      </c>
      <c r="B11" s="36" t="s">
        <v>190</v>
      </c>
      <c r="C11" s="18">
        <v>0</v>
      </c>
      <c r="D11" s="18">
        <v>0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18">
        <v>0</v>
      </c>
      <c r="K11" s="18">
        <v>0</v>
      </c>
      <c r="L11" s="18">
        <v>0</v>
      </c>
      <c r="M11" s="18">
        <v>9</v>
      </c>
      <c r="N11" s="18">
        <v>0</v>
      </c>
      <c r="O11" s="18">
        <v>2</v>
      </c>
      <c r="P11" s="18">
        <v>0</v>
      </c>
      <c r="Q11" s="18">
        <v>3</v>
      </c>
      <c r="R11" s="18">
        <v>0</v>
      </c>
      <c r="S11" s="18">
        <v>0</v>
      </c>
      <c r="T11" s="18">
        <v>0</v>
      </c>
      <c r="U11" s="1">
        <f t="shared" si="0"/>
        <v>14</v>
      </c>
    </row>
    <row r="12" spans="1:21">
      <c r="A12" s="18">
        <v>9</v>
      </c>
      <c r="B12" s="36" t="s">
        <v>191</v>
      </c>
      <c r="C12" s="18">
        <v>0</v>
      </c>
      <c r="D12" s="18">
        <v>0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0</v>
      </c>
      <c r="K12" s="18">
        <v>0</v>
      </c>
      <c r="L12" s="18">
        <v>0</v>
      </c>
      <c r="M12" s="18">
        <v>11</v>
      </c>
      <c r="N12" s="18">
        <v>0</v>
      </c>
      <c r="O12" s="18">
        <v>0</v>
      </c>
      <c r="P12" s="18">
        <v>0</v>
      </c>
      <c r="Q12" s="18">
        <v>3</v>
      </c>
      <c r="R12" s="18">
        <v>0</v>
      </c>
      <c r="S12" s="18">
        <v>0</v>
      </c>
      <c r="T12" s="18">
        <v>0</v>
      </c>
      <c r="U12" s="1">
        <f t="shared" si="0"/>
        <v>14</v>
      </c>
    </row>
    <row r="13" spans="1:21">
      <c r="A13" s="18">
        <v>10</v>
      </c>
      <c r="B13" s="36" t="s">
        <v>192</v>
      </c>
      <c r="C13" s="18">
        <v>0</v>
      </c>
      <c r="D13" s="18">
        <v>0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18">
        <v>0</v>
      </c>
      <c r="K13" s="18">
        <v>0</v>
      </c>
      <c r="L13" s="18">
        <v>0</v>
      </c>
      <c r="M13" s="18">
        <v>14</v>
      </c>
      <c r="N13" s="18">
        <v>0</v>
      </c>
      <c r="O13" s="18">
        <v>0</v>
      </c>
      <c r="P13" s="18">
        <v>0</v>
      </c>
      <c r="Q13" s="18">
        <v>0</v>
      </c>
      <c r="R13" s="18">
        <v>0</v>
      </c>
      <c r="S13" s="18">
        <v>0</v>
      </c>
      <c r="T13" s="18">
        <v>0</v>
      </c>
      <c r="U13" s="1">
        <f t="shared" si="0"/>
        <v>14</v>
      </c>
    </row>
    <row r="14" spans="1:21">
      <c r="A14" s="18">
        <v>11</v>
      </c>
      <c r="B14" s="36" t="s">
        <v>193</v>
      </c>
      <c r="C14" s="18">
        <v>0</v>
      </c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12</v>
      </c>
      <c r="N14" s="18">
        <v>0</v>
      </c>
      <c r="O14" s="18">
        <v>0</v>
      </c>
      <c r="P14" s="18">
        <v>0</v>
      </c>
      <c r="Q14" s="18">
        <v>1</v>
      </c>
      <c r="R14" s="18">
        <v>0</v>
      </c>
      <c r="S14" s="18">
        <v>0</v>
      </c>
      <c r="T14" s="18">
        <v>0</v>
      </c>
      <c r="U14" s="1">
        <f t="shared" si="0"/>
        <v>13</v>
      </c>
    </row>
    <row r="15" spans="1:21">
      <c r="A15" s="18">
        <v>12</v>
      </c>
      <c r="B15" s="36" t="s">
        <v>194</v>
      </c>
      <c r="C15" s="18">
        <v>0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  <c r="M15" s="18">
        <v>11</v>
      </c>
      <c r="N15" s="18">
        <v>0</v>
      </c>
      <c r="O15" s="18">
        <v>0</v>
      </c>
      <c r="P15" s="18">
        <v>0</v>
      </c>
      <c r="Q15" s="18">
        <v>1</v>
      </c>
      <c r="R15" s="18">
        <v>0</v>
      </c>
      <c r="S15" s="18">
        <v>0</v>
      </c>
      <c r="T15" s="18">
        <v>0</v>
      </c>
      <c r="U15" s="1">
        <f t="shared" si="0"/>
        <v>12</v>
      </c>
    </row>
    <row r="16" spans="1:21">
      <c r="A16" s="18">
        <v>13</v>
      </c>
      <c r="B16" s="36" t="s">
        <v>195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13</v>
      </c>
      <c r="N16" s="18">
        <v>0</v>
      </c>
      <c r="O16" s="18">
        <v>0</v>
      </c>
      <c r="P16" s="18">
        <v>0</v>
      </c>
      <c r="Q16" s="18">
        <v>1</v>
      </c>
      <c r="R16" s="18">
        <v>0</v>
      </c>
      <c r="S16" s="18">
        <v>0</v>
      </c>
      <c r="T16" s="18">
        <v>0</v>
      </c>
      <c r="U16" s="1">
        <f t="shared" si="0"/>
        <v>14</v>
      </c>
    </row>
    <row r="17" spans="1:21">
      <c r="A17" s="18">
        <v>14</v>
      </c>
      <c r="B17" s="36" t="s">
        <v>196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">
        <f t="shared" si="0"/>
        <v>0</v>
      </c>
    </row>
    <row r="18" spans="1:21">
      <c r="A18" s="18">
        <v>15</v>
      </c>
      <c r="B18" s="36" t="s">
        <v>197</v>
      </c>
      <c r="C18" s="18">
        <v>0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  <c r="L18" s="18">
        <v>0</v>
      </c>
      <c r="M18" s="18">
        <v>12</v>
      </c>
      <c r="N18" s="18">
        <v>0</v>
      </c>
      <c r="O18" s="18">
        <v>0</v>
      </c>
      <c r="P18" s="18">
        <v>0</v>
      </c>
      <c r="Q18" s="18">
        <v>1</v>
      </c>
      <c r="R18" s="18">
        <v>0</v>
      </c>
      <c r="S18" s="18">
        <v>0</v>
      </c>
      <c r="T18" s="18">
        <v>0</v>
      </c>
      <c r="U18" s="1">
        <f t="shared" si="0"/>
        <v>13</v>
      </c>
    </row>
    <row r="19" spans="1:21">
      <c r="A19" s="18">
        <v>16</v>
      </c>
      <c r="B19" s="36" t="s">
        <v>198</v>
      </c>
      <c r="C19" s="18">
        <v>0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9</v>
      </c>
      <c r="N19" s="18">
        <v>0</v>
      </c>
      <c r="O19" s="18">
        <v>0</v>
      </c>
      <c r="P19" s="18">
        <v>0</v>
      </c>
      <c r="Q19" s="18">
        <v>1</v>
      </c>
      <c r="R19" s="18">
        <v>0</v>
      </c>
      <c r="S19" s="18">
        <v>0</v>
      </c>
      <c r="T19" s="18">
        <v>0</v>
      </c>
      <c r="U19" s="1">
        <f t="shared" si="0"/>
        <v>10</v>
      </c>
    </row>
    <row r="20" spans="1:21">
      <c r="A20" s="18">
        <v>17</v>
      </c>
      <c r="B20" s="36" t="s">
        <v>199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11</v>
      </c>
      <c r="N20" s="18">
        <v>0</v>
      </c>
      <c r="O20" s="18">
        <v>0</v>
      </c>
      <c r="P20" s="18">
        <v>0</v>
      </c>
      <c r="Q20" s="18">
        <v>1</v>
      </c>
      <c r="R20" s="18">
        <v>0</v>
      </c>
      <c r="S20" s="18">
        <v>0</v>
      </c>
      <c r="T20" s="18">
        <v>0</v>
      </c>
      <c r="U20" s="1">
        <f t="shared" si="0"/>
        <v>12</v>
      </c>
    </row>
    <row r="21" spans="1:21">
      <c r="A21" s="18">
        <v>18</v>
      </c>
      <c r="B21" s="36" t="s">
        <v>200</v>
      </c>
      <c r="C21" s="18">
        <v>0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>
        <v>0</v>
      </c>
      <c r="L21" s="18">
        <v>0</v>
      </c>
      <c r="M21" s="18">
        <v>9</v>
      </c>
      <c r="N21" s="18">
        <v>0</v>
      </c>
      <c r="O21" s="18">
        <v>0</v>
      </c>
      <c r="P21" s="18">
        <v>0</v>
      </c>
      <c r="Q21" s="18">
        <v>1</v>
      </c>
      <c r="R21" s="18">
        <v>0</v>
      </c>
      <c r="S21" s="18">
        <v>0</v>
      </c>
      <c r="T21" s="18">
        <v>0</v>
      </c>
      <c r="U21" s="1">
        <f t="shared" si="0"/>
        <v>10</v>
      </c>
    </row>
    <row r="22" spans="1:21">
      <c r="A22" s="18">
        <v>19</v>
      </c>
      <c r="B22" s="36" t="s">
        <v>201</v>
      </c>
      <c r="C22" s="18">
        <v>0</v>
      </c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9</v>
      </c>
      <c r="N22" s="18">
        <v>0</v>
      </c>
      <c r="O22" s="18">
        <v>0</v>
      </c>
      <c r="P22" s="18">
        <v>0</v>
      </c>
      <c r="Q22" s="18">
        <v>1</v>
      </c>
      <c r="R22" s="18">
        <v>0</v>
      </c>
      <c r="S22" s="18">
        <v>6</v>
      </c>
      <c r="T22" s="18">
        <v>0</v>
      </c>
      <c r="U22" s="1">
        <f t="shared" si="0"/>
        <v>16</v>
      </c>
    </row>
    <row r="23" spans="1:21">
      <c r="A23" s="18">
        <v>20</v>
      </c>
      <c r="B23" s="36" t="s">
        <v>202</v>
      </c>
      <c r="C23" s="18">
        <v>0</v>
      </c>
      <c r="D23" s="18">
        <v>0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8">
        <v>0</v>
      </c>
      <c r="K23" s="18">
        <v>0</v>
      </c>
      <c r="L23" s="18">
        <v>0</v>
      </c>
      <c r="M23" s="18">
        <v>4</v>
      </c>
      <c r="N23" s="18">
        <v>0</v>
      </c>
      <c r="O23" s="18">
        <v>0</v>
      </c>
      <c r="P23" s="18">
        <v>0</v>
      </c>
      <c r="Q23" s="18">
        <v>1</v>
      </c>
      <c r="R23" s="18">
        <v>0</v>
      </c>
      <c r="S23" s="18">
        <v>0</v>
      </c>
      <c r="T23" s="18">
        <v>0</v>
      </c>
      <c r="U23" s="1">
        <f t="shared" si="0"/>
        <v>5</v>
      </c>
    </row>
    <row r="24" spans="1:21">
      <c r="A24" s="18">
        <v>21</v>
      </c>
      <c r="B24" s="36" t="s">
        <v>203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>
        <v>6</v>
      </c>
      <c r="N24" s="18"/>
      <c r="O24" s="18"/>
      <c r="P24" s="18"/>
      <c r="Q24" s="18"/>
      <c r="R24" s="18"/>
      <c r="S24" s="18">
        <v>4</v>
      </c>
      <c r="T24" s="18"/>
      <c r="U24" s="1">
        <f t="shared" si="0"/>
        <v>10</v>
      </c>
    </row>
    <row r="25" spans="1:21">
      <c r="A25" s="18">
        <v>22</v>
      </c>
      <c r="B25" s="36" t="s">
        <v>204</v>
      </c>
      <c r="C25" s="18">
        <v>0</v>
      </c>
      <c r="D25" s="18">
        <v>0</v>
      </c>
      <c r="E25" s="18">
        <v>0</v>
      </c>
      <c r="F25" s="18">
        <v>0</v>
      </c>
      <c r="G25" s="18">
        <v>0</v>
      </c>
      <c r="H25" s="18">
        <v>0</v>
      </c>
      <c r="I25" s="18">
        <v>0</v>
      </c>
      <c r="J25" s="18">
        <v>0</v>
      </c>
      <c r="K25" s="18">
        <v>0</v>
      </c>
      <c r="L25" s="18">
        <v>0</v>
      </c>
      <c r="M25" s="18">
        <v>5</v>
      </c>
      <c r="N25" s="18">
        <v>0</v>
      </c>
      <c r="O25" s="18">
        <v>0</v>
      </c>
      <c r="P25" s="18">
        <v>0</v>
      </c>
      <c r="Q25" s="18">
        <v>1</v>
      </c>
      <c r="R25" s="18">
        <v>0</v>
      </c>
      <c r="S25" s="18">
        <v>0</v>
      </c>
      <c r="T25" s="18">
        <v>0</v>
      </c>
      <c r="U25" s="1">
        <f t="shared" si="0"/>
        <v>6</v>
      </c>
    </row>
    <row r="26" spans="1:21">
      <c r="A26" s="18">
        <v>23</v>
      </c>
      <c r="B26" s="36" t="s">
        <v>205</v>
      </c>
      <c r="C26" s="18">
        <v>0</v>
      </c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8">
        <v>0</v>
      </c>
      <c r="K26" s="18">
        <v>0</v>
      </c>
      <c r="L26" s="18">
        <v>0</v>
      </c>
      <c r="M26" s="18">
        <v>10</v>
      </c>
      <c r="N26" s="18">
        <v>0</v>
      </c>
      <c r="O26" s="18">
        <v>0</v>
      </c>
      <c r="P26" s="18">
        <v>0</v>
      </c>
      <c r="Q26" s="18">
        <v>1</v>
      </c>
      <c r="R26" s="18">
        <v>0</v>
      </c>
      <c r="S26" s="18">
        <v>0</v>
      </c>
      <c r="T26" s="18">
        <v>0</v>
      </c>
      <c r="U26" s="1">
        <f t="shared" si="0"/>
        <v>11</v>
      </c>
    </row>
    <row r="27" spans="1:21">
      <c r="A27" s="18">
        <v>24</v>
      </c>
      <c r="B27" s="36" t="s">
        <v>206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">
        <f t="shared" si="0"/>
        <v>0</v>
      </c>
    </row>
    <row r="28" spans="1:21">
      <c r="A28" s="18">
        <v>25</v>
      </c>
      <c r="B28" s="36" t="s">
        <v>207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">
        <f t="shared" si="0"/>
        <v>0</v>
      </c>
    </row>
    <row r="29" spans="1:21">
      <c r="A29" s="18">
        <v>26</v>
      </c>
      <c r="B29" s="36" t="s">
        <v>212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">
        <f t="shared" si="0"/>
        <v>0</v>
      </c>
    </row>
    <row r="30" spans="1:21">
      <c r="A30" s="18">
        <v>27</v>
      </c>
      <c r="B30" s="36" t="s">
        <v>208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">
        <f t="shared" si="0"/>
        <v>0</v>
      </c>
    </row>
    <row r="31" spans="1:21">
      <c r="A31" s="18">
        <v>28</v>
      </c>
      <c r="B31" s="36" t="s">
        <v>209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">
        <f t="shared" si="0"/>
        <v>0</v>
      </c>
    </row>
    <row r="32" spans="1:21">
      <c r="A32" s="18">
        <v>29</v>
      </c>
      <c r="B32" s="36" t="s">
        <v>210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">
        <f t="shared" si="0"/>
        <v>0</v>
      </c>
    </row>
    <row r="33" spans="1:21" ht="15.75" thickBot="1">
      <c r="A33" s="18">
        <v>30</v>
      </c>
      <c r="B33" s="36" t="s">
        <v>211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">
        <f t="shared" si="0"/>
        <v>0</v>
      </c>
    </row>
    <row r="34" spans="1:21" ht="15.75" thickBot="1">
      <c r="A34" s="34"/>
      <c r="B34" s="37"/>
      <c r="C34" s="36">
        <f t="shared" ref="C34:U34" si="1">SUM(C4:C33)</f>
        <v>0</v>
      </c>
      <c r="D34" s="36">
        <f t="shared" si="1"/>
        <v>0</v>
      </c>
      <c r="E34" s="36">
        <f t="shared" si="1"/>
        <v>0</v>
      </c>
      <c r="F34" s="36">
        <f t="shared" si="1"/>
        <v>0</v>
      </c>
      <c r="G34" s="36">
        <f t="shared" si="1"/>
        <v>0</v>
      </c>
      <c r="H34" s="36">
        <f t="shared" si="1"/>
        <v>0</v>
      </c>
      <c r="I34" s="36">
        <f t="shared" si="1"/>
        <v>0</v>
      </c>
      <c r="J34" s="36">
        <f t="shared" si="1"/>
        <v>0</v>
      </c>
      <c r="K34" s="36">
        <f t="shared" si="1"/>
        <v>0</v>
      </c>
      <c r="L34" s="36">
        <f t="shared" si="1"/>
        <v>0</v>
      </c>
      <c r="M34" s="36">
        <f>SUM(M4:M33)</f>
        <v>195</v>
      </c>
      <c r="N34" s="36">
        <f t="shared" si="1"/>
        <v>0</v>
      </c>
      <c r="O34" s="36">
        <f t="shared" si="1"/>
        <v>2</v>
      </c>
      <c r="P34" s="36">
        <f t="shared" si="1"/>
        <v>0</v>
      </c>
      <c r="Q34" s="36">
        <f>SUM(Q4:Q33)</f>
        <v>40</v>
      </c>
      <c r="R34" s="36">
        <f t="shared" si="1"/>
        <v>0</v>
      </c>
      <c r="S34" s="36">
        <f t="shared" si="1"/>
        <v>10</v>
      </c>
      <c r="T34" s="36">
        <f t="shared" si="1"/>
        <v>0</v>
      </c>
      <c r="U34" s="31">
        <f t="shared" si="1"/>
        <v>247</v>
      </c>
    </row>
  </sheetData>
  <mergeCells count="10">
    <mergeCell ref="A1:T1"/>
    <mergeCell ref="C2:D2"/>
    <mergeCell ref="E2:F2"/>
    <mergeCell ref="G2:H2"/>
    <mergeCell ref="I2:J2"/>
    <mergeCell ref="K2:L2"/>
    <mergeCell ref="M2:N2"/>
    <mergeCell ref="O2:P2"/>
    <mergeCell ref="Q2:R2"/>
    <mergeCell ref="S2:T2"/>
  </mergeCells>
  <hyperlinks>
    <hyperlink ref="A2" r:id="rId1" xr:uid="{5593A0F6-508F-4D51-8375-DDDD56651753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444AB-541D-448C-9774-B11A35A72ABB}">
  <dimension ref="A1:S34"/>
  <sheetViews>
    <sheetView workbookViewId="0">
      <selection activeCell="G3" sqref="G3"/>
    </sheetView>
  </sheetViews>
  <sheetFormatPr defaultRowHeight="15"/>
  <cols>
    <col min="1" max="1" width="4.85546875" bestFit="1" customWidth="1"/>
    <col min="2" max="2" width="8.140625" bestFit="1" customWidth="1"/>
    <col min="3" max="3" width="4.28515625" bestFit="1" customWidth="1"/>
    <col min="4" max="4" width="5.85546875" bestFit="1" customWidth="1"/>
    <col min="5" max="5" width="4.28515625" bestFit="1" customWidth="1"/>
    <col min="6" max="6" width="5.85546875" bestFit="1" customWidth="1"/>
    <col min="7" max="7" width="4.28515625" bestFit="1" customWidth="1"/>
    <col min="8" max="8" width="5.85546875" bestFit="1" customWidth="1"/>
    <col min="9" max="9" width="4.28515625" bestFit="1" customWidth="1"/>
    <col min="10" max="10" width="5.85546875" bestFit="1" customWidth="1"/>
    <col min="11" max="11" width="4.28515625" bestFit="1" customWidth="1"/>
    <col min="12" max="12" width="5.85546875" bestFit="1" customWidth="1"/>
    <col min="13" max="13" width="4.28515625" bestFit="1" customWidth="1"/>
    <col min="14" max="14" width="8" bestFit="1" customWidth="1"/>
    <col min="15" max="15" width="4.28515625" bestFit="1" customWidth="1"/>
    <col min="16" max="16" width="5.85546875" bestFit="1" customWidth="1"/>
    <col min="17" max="17" width="4.28515625" bestFit="1" customWidth="1"/>
    <col min="18" max="18" width="5.85546875" bestFit="1" customWidth="1"/>
    <col min="19" max="19" width="5" bestFit="1" customWidth="1"/>
  </cols>
  <sheetData>
    <row r="1" spans="1:19" ht="19.5" thickBot="1">
      <c r="A1" s="38" t="s">
        <v>214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40"/>
      <c r="S1" s="1"/>
    </row>
    <row r="2" spans="1:19" ht="15.75" thickBot="1">
      <c r="A2" s="2" t="s">
        <v>1</v>
      </c>
      <c r="B2" s="3" t="s">
        <v>2</v>
      </c>
      <c r="C2" s="41" t="s">
        <v>3</v>
      </c>
      <c r="D2" s="42"/>
      <c r="E2" s="41" t="s">
        <v>4</v>
      </c>
      <c r="F2" s="42"/>
      <c r="G2" s="41" t="s">
        <v>149</v>
      </c>
      <c r="H2" s="42"/>
      <c r="I2" s="41" t="s">
        <v>6</v>
      </c>
      <c r="J2" s="42"/>
      <c r="K2" s="41" t="s">
        <v>7</v>
      </c>
      <c r="L2" s="42"/>
      <c r="M2" s="41" t="s">
        <v>8</v>
      </c>
      <c r="N2" s="42"/>
      <c r="O2" s="41" t="s">
        <v>9</v>
      </c>
      <c r="P2" s="42"/>
      <c r="Q2" s="41" t="s">
        <v>10</v>
      </c>
      <c r="R2" s="42"/>
      <c r="S2" s="1"/>
    </row>
    <row r="3" spans="1:19" ht="15.75" thickBot="1">
      <c r="A3" s="4"/>
      <c r="B3" s="5"/>
      <c r="C3" s="6" t="s">
        <v>12</v>
      </c>
      <c r="D3" s="6" t="s">
        <v>13</v>
      </c>
      <c r="E3" s="6" t="s">
        <v>12</v>
      </c>
      <c r="F3" s="6" t="s">
        <v>13</v>
      </c>
      <c r="G3" s="6" t="s">
        <v>12</v>
      </c>
      <c r="H3" s="6" t="s">
        <v>13</v>
      </c>
      <c r="I3" s="6" t="s">
        <v>12</v>
      </c>
      <c r="J3" s="6" t="s">
        <v>13</v>
      </c>
      <c r="K3" s="6" t="s">
        <v>12</v>
      </c>
      <c r="L3" s="6" t="s">
        <v>13</v>
      </c>
      <c r="M3" s="6" t="s">
        <v>12</v>
      </c>
      <c r="N3" s="6" t="s">
        <v>13</v>
      </c>
      <c r="O3" s="6" t="s">
        <v>12</v>
      </c>
      <c r="P3" s="6" t="s">
        <v>13</v>
      </c>
      <c r="Q3" s="6" t="s">
        <v>12</v>
      </c>
      <c r="R3" s="6" t="s">
        <v>13</v>
      </c>
      <c r="S3" s="1"/>
    </row>
    <row r="4" spans="1:19" ht="15.75" thickBot="1">
      <c r="A4" s="7">
        <v>1</v>
      </c>
      <c r="B4" s="8" t="s">
        <v>183</v>
      </c>
      <c r="C4" s="8">
        <v>0</v>
      </c>
      <c r="D4" s="8">
        <v>0</v>
      </c>
      <c r="E4" s="8">
        <v>0</v>
      </c>
      <c r="F4" s="8">
        <v>0</v>
      </c>
      <c r="G4" s="8">
        <v>2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25</v>
      </c>
      <c r="N4" s="8">
        <v>0</v>
      </c>
      <c r="O4" s="8">
        <v>28</v>
      </c>
      <c r="P4" s="8">
        <v>0</v>
      </c>
      <c r="Q4" s="8">
        <v>20</v>
      </c>
      <c r="R4" s="8">
        <v>0</v>
      </c>
      <c r="S4" s="1">
        <f t="shared" ref="S4:S33" si="0">SUM(C4:R4)</f>
        <v>75</v>
      </c>
    </row>
    <row r="5" spans="1:19" ht="15.75" thickBot="1">
      <c r="A5" s="7">
        <v>2</v>
      </c>
      <c r="B5" s="8" t="s">
        <v>184</v>
      </c>
      <c r="C5" s="8">
        <v>0</v>
      </c>
      <c r="D5" s="8">
        <v>0</v>
      </c>
      <c r="E5" s="8">
        <v>0</v>
      </c>
      <c r="F5" s="8">
        <v>0</v>
      </c>
      <c r="G5" s="8">
        <v>2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25</v>
      </c>
      <c r="N5" s="8">
        <v>0</v>
      </c>
      <c r="O5" s="8">
        <v>26</v>
      </c>
      <c r="P5" s="8">
        <v>0</v>
      </c>
      <c r="Q5" s="8">
        <v>19</v>
      </c>
      <c r="R5" s="8">
        <v>0</v>
      </c>
      <c r="S5" s="1">
        <f t="shared" si="0"/>
        <v>72</v>
      </c>
    </row>
    <row r="6" spans="1:19" ht="15.75" thickBot="1">
      <c r="A6" s="7">
        <v>3</v>
      </c>
      <c r="B6" s="8" t="s">
        <v>185</v>
      </c>
      <c r="C6" s="8">
        <v>0</v>
      </c>
      <c r="D6" s="8">
        <v>0</v>
      </c>
      <c r="E6" s="8">
        <v>0</v>
      </c>
      <c r="F6" s="8">
        <v>0</v>
      </c>
      <c r="G6" s="8">
        <v>3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32</v>
      </c>
      <c r="N6" s="8">
        <v>0</v>
      </c>
      <c r="O6" s="8">
        <v>30</v>
      </c>
      <c r="P6" s="8">
        <v>0</v>
      </c>
      <c r="Q6" s="8">
        <v>18</v>
      </c>
      <c r="R6" s="8">
        <v>0</v>
      </c>
      <c r="S6" s="1">
        <f t="shared" si="0"/>
        <v>83</v>
      </c>
    </row>
    <row r="7" spans="1:19" ht="15.75" thickBot="1">
      <c r="A7" s="7">
        <v>4</v>
      </c>
      <c r="B7" s="8" t="s">
        <v>186</v>
      </c>
      <c r="C7" s="8">
        <v>0</v>
      </c>
      <c r="D7" s="8">
        <v>0</v>
      </c>
      <c r="E7" s="8">
        <v>0</v>
      </c>
      <c r="F7" s="8">
        <v>0</v>
      </c>
      <c r="G7" s="8">
        <v>3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34</v>
      </c>
      <c r="N7" s="8">
        <v>0</v>
      </c>
      <c r="O7" s="8">
        <v>29</v>
      </c>
      <c r="P7" s="8">
        <v>0</v>
      </c>
      <c r="Q7" s="8">
        <v>20</v>
      </c>
      <c r="R7" s="8">
        <v>0</v>
      </c>
      <c r="S7" s="1">
        <f t="shared" si="0"/>
        <v>86</v>
      </c>
    </row>
    <row r="8" spans="1:19" ht="15.75" thickBot="1">
      <c r="A8" s="7">
        <v>5</v>
      </c>
      <c r="B8" s="8" t="s">
        <v>187</v>
      </c>
      <c r="C8" s="8">
        <v>0</v>
      </c>
      <c r="D8" s="8">
        <v>0</v>
      </c>
      <c r="E8" s="8">
        <v>0</v>
      </c>
      <c r="F8" s="8">
        <v>0</v>
      </c>
      <c r="G8" s="8">
        <v>1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29</v>
      </c>
      <c r="N8" s="8">
        <v>0</v>
      </c>
      <c r="O8" s="8">
        <v>31</v>
      </c>
      <c r="P8" s="8">
        <v>0</v>
      </c>
      <c r="Q8" s="8">
        <v>21</v>
      </c>
      <c r="R8" s="8">
        <v>0</v>
      </c>
      <c r="S8" s="1">
        <f t="shared" si="0"/>
        <v>82</v>
      </c>
    </row>
    <row r="9" spans="1:19" ht="15.75" thickBot="1">
      <c r="A9" s="7">
        <v>6</v>
      </c>
      <c r="B9" s="8" t="s">
        <v>188</v>
      </c>
      <c r="C9" s="8">
        <v>0</v>
      </c>
      <c r="D9" s="8">
        <v>0</v>
      </c>
      <c r="E9" s="8">
        <v>0</v>
      </c>
      <c r="F9" s="8">
        <v>0</v>
      </c>
      <c r="G9" s="8">
        <v>2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34</v>
      </c>
      <c r="N9" s="8">
        <v>0</v>
      </c>
      <c r="O9" s="8">
        <v>31</v>
      </c>
      <c r="P9" s="8">
        <v>0</v>
      </c>
      <c r="Q9" s="8">
        <v>18</v>
      </c>
      <c r="R9" s="8">
        <v>0</v>
      </c>
      <c r="S9" s="1">
        <f t="shared" si="0"/>
        <v>85</v>
      </c>
    </row>
    <row r="10" spans="1:19" ht="15.75" thickBot="1">
      <c r="A10" s="7">
        <v>7</v>
      </c>
      <c r="B10" s="8" t="s">
        <v>189</v>
      </c>
      <c r="C10" s="8">
        <v>0</v>
      </c>
      <c r="D10" s="8">
        <v>0</v>
      </c>
      <c r="E10" s="8">
        <v>0</v>
      </c>
      <c r="F10" s="8">
        <v>0</v>
      </c>
      <c r="G10" s="8"/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/>
      <c r="N10" s="8">
        <v>0</v>
      </c>
      <c r="O10" s="8">
        <v>8</v>
      </c>
      <c r="P10" s="8">
        <v>0</v>
      </c>
      <c r="Q10" s="8"/>
      <c r="R10" s="8">
        <v>0</v>
      </c>
      <c r="S10" s="1">
        <f t="shared" si="0"/>
        <v>8</v>
      </c>
    </row>
    <row r="11" spans="1:19" ht="15.75" thickBot="1">
      <c r="A11" s="7">
        <v>8</v>
      </c>
      <c r="B11" s="8" t="s">
        <v>190</v>
      </c>
      <c r="C11" s="8">
        <v>0</v>
      </c>
      <c r="D11" s="8">
        <v>0</v>
      </c>
      <c r="E11" s="8">
        <v>0</v>
      </c>
      <c r="F11" s="8">
        <v>0</v>
      </c>
      <c r="G11" s="8">
        <v>3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33</v>
      </c>
      <c r="N11" s="8">
        <v>0</v>
      </c>
      <c r="O11" s="8">
        <v>32</v>
      </c>
      <c r="P11" s="8">
        <v>0</v>
      </c>
      <c r="Q11" s="8">
        <v>17</v>
      </c>
      <c r="R11" s="8">
        <v>0</v>
      </c>
      <c r="S11" s="1">
        <f t="shared" si="0"/>
        <v>85</v>
      </c>
    </row>
    <row r="12" spans="1:19" ht="15.75" thickBot="1">
      <c r="A12" s="7">
        <v>9</v>
      </c>
      <c r="B12" s="8" t="s">
        <v>191</v>
      </c>
      <c r="C12" s="8">
        <v>0</v>
      </c>
      <c r="D12" s="8">
        <v>0</v>
      </c>
      <c r="E12" s="8">
        <v>0</v>
      </c>
      <c r="F12" s="8">
        <v>0</v>
      </c>
      <c r="G12" s="8">
        <v>12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41</v>
      </c>
      <c r="N12" s="8">
        <v>0</v>
      </c>
      <c r="O12" s="8">
        <v>27</v>
      </c>
      <c r="P12" s="8">
        <v>0</v>
      </c>
      <c r="Q12" s="8">
        <v>16</v>
      </c>
      <c r="R12" s="8">
        <v>0</v>
      </c>
      <c r="S12" s="1">
        <f t="shared" si="0"/>
        <v>96</v>
      </c>
    </row>
    <row r="13" spans="1:19" ht="15.75" thickBot="1">
      <c r="A13" s="7">
        <v>10</v>
      </c>
      <c r="B13" s="8" t="s">
        <v>192</v>
      </c>
      <c r="C13" s="8">
        <v>0</v>
      </c>
      <c r="D13" s="8">
        <v>0</v>
      </c>
      <c r="E13" s="8">
        <v>0</v>
      </c>
      <c r="F13" s="8">
        <v>0</v>
      </c>
      <c r="G13" s="8">
        <v>4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46</v>
      </c>
      <c r="N13" s="8">
        <v>0</v>
      </c>
      <c r="O13" s="8">
        <v>28</v>
      </c>
      <c r="P13" s="8">
        <v>0</v>
      </c>
      <c r="Q13" s="8">
        <v>16</v>
      </c>
      <c r="R13" s="8">
        <v>0</v>
      </c>
      <c r="S13" s="1">
        <f t="shared" si="0"/>
        <v>94</v>
      </c>
    </row>
    <row r="14" spans="1:19" ht="15.75" thickBot="1">
      <c r="A14" s="7">
        <v>11</v>
      </c>
      <c r="B14" s="8" t="s">
        <v>193</v>
      </c>
      <c r="C14" s="8">
        <v>0</v>
      </c>
      <c r="D14" s="8">
        <v>0</v>
      </c>
      <c r="E14" s="8">
        <v>0</v>
      </c>
      <c r="F14" s="8">
        <v>0</v>
      </c>
      <c r="G14" s="8">
        <v>4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38</v>
      </c>
      <c r="N14" s="8">
        <v>0</v>
      </c>
      <c r="O14" s="8">
        <v>33</v>
      </c>
      <c r="P14" s="8">
        <v>0</v>
      </c>
      <c r="Q14" s="8">
        <v>16</v>
      </c>
      <c r="R14" s="8">
        <v>0</v>
      </c>
      <c r="S14" s="1">
        <f t="shared" si="0"/>
        <v>91</v>
      </c>
    </row>
    <row r="15" spans="1:19" ht="15.75" thickBot="1">
      <c r="A15" s="7">
        <v>12</v>
      </c>
      <c r="B15" s="8" t="s">
        <v>194</v>
      </c>
      <c r="C15" s="8">
        <v>0</v>
      </c>
      <c r="D15" s="8">
        <v>0</v>
      </c>
      <c r="E15" s="8">
        <v>0</v>
      </c>
      <c r="F15" s="8">
        <v>0</v>
      </c>
      <c r="G15" s="8">
        <v>5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34</v>
      </c>
      <c r="N15" s="8">
        <v>0</v>
      </c>
      <c r="O15" s="8">
        <v>30</v>
      </c>
      <c r="P15" s="8">
        <v>0</v>
      </c>
      <c r="Q15" s="8">
        <v>14</v>
      </c>
      <c r="R15" s="8">
        <v>0</v>
      </c>
      <c r="S15" s="1">
        <f t="shared" si="0"/>
        <v>83</v>
      </c>
    </row>
    <row r="16" spans="1:19" ht="15.75" thickBot="1">
      <c r="A16" s="7">
        <v>13</v>
      </c>
      <c r="B16" s="8" t="s">
        <v>195</v>
      </c>
      <c r="C16" s="8">
        <v>0</v>
      </c>
      <c r="D16" s="8">
        <v>0</v>
      </c>
      <c r="E16" s="8">
        <v>0</v>
      </c>
      <c r="F16" s="8">
        <v>0</v>
      </c>
      <c r="G16" s="8">
        <v>9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40</v>
      </c>
      <c r="N16" s="8"/>
      <c r="O16" s="8">
        <v>33</v>
      </c>
      <c r="P16" s="8">
        <v>1</v>
      </c>
      <c r="Q16" s="8">
        <v>14</v>
      </c>
      <c r="R16" s="8">
        <v>4</v>
      </c>
      <c r="S16" s="1">
        <f t="shared" si="0"/>
        <v>101</v>
      </c>
    </row>
    <row r="17" spans="1:19" ht="15.75" thickBot="1">
      <c r="A17" s="7">
        <v>14</v>
      </c>
      <c r="B17" s="8" t="s">
        <v>196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>
        <v>9</v>
      </c>
      <c r="P17" s="8"/>
      <c r="Q17" s="8"/>
      <c r="R17" s="8"/>
      <c r="S17" s="1">
        <f t="shared" si="0"/>
        <v>9</v>
      </c>
    </row>
    <row r="18" spans="1:19" ht="15.75" thickBot="1">
      <c r="A18" s="7">
        <v>15</v>
      </c>
      <c r="B18" s="8" t="s">
        <v>197</v>
      </c>
      <c r="C18" s="8">
        <v>0</v>
      </c>
      <c r="D18" s="8">
        <v>0</v>
      </c>
      <c r="E18" s="8">
        <v>0</v>
      </c>
      <c r="F18" s="8">
        <v>0</v>
      </c>
      <c r="G18" s="8">
        <v>10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38</v>
      </c>
      <c r="N18" s="8">
        <v>5</v>
      </c>
      <c r="O18" s="8">
        <v>34</v>
      </c>
      <c r="P18" s="8">
        <v>0</v>
      </c>
      <c r="Q18" s="8">
        <v>15</v>
      </c>
      <c r="R18" s="8">
        <v>0</v>
      </c>
      <c r="S18" s="1">
        <f t="shared" si="0"/>
        <v>102</v>
      </c>
    </row>
    <row r="19" spans="1:19" ht="15.75" thickBot="1">
      <c r="A19" s="7">
        <v>16</v>
      </c>
      <c r="B19" s="8" t="s">
        <v>198</v>
      </c>
      <c r="C19" s="8">
        <v>0</v>
      </c>
      <c r="D19" s="8">
        <v>0</v>
      </c>
      <c r="E19" s="8">
        <v>0</v>
      </c>
      <c r="F19" s="8">
        <v>0</v>
      </c>
      <c r="G19" s="8">
        <v>14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33</v>
      </c>
      <c r="N19" s="8">
        <v>5</v>
      </c>
      <c r="O19" s="8">
        <v>30</v>
      </c>
      <c r="P19" s="8">
        <v>0</v>
      </c>
      <c r="Q19" s="8">
        <v>16</v>
      </c>
      <c r="R19" s="8">
        <v>0</v>
      </c>
      <c r="S19" s="1">
        <f t="shared" si="0"/>
        <v>98</v>
      </c>
    </row>
    <row r="20" spans="1:19" ht="15.75" thickBot="1">
      <c r="A20" s="7">
        <v>17</v>
      </c>
      <c r="B20" s="8" t="s">
        <v>199</v>
      </c>
      <c r="C20" s="8">
        <v>0</v>
      </c>
      <c r="D20" s="8">
        <v>0</v>
      </c>
      <c r="E20" s="8">
        <v>0</v>
      </c>
      <c r="F20" s="8">
        <v>0</v>
      </c>
      <c r="G20" s="8">
        <v>16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37</v>
      </c>
      <c r="N20" s="8">
        <v>0</v>
      </c>
      <c r="O20" s="8">
        <v>33</v>
      </c>
      <c r="P20" s="8">
        <v>1</v>
      </c>
      <c r="Q20" s="8">
        <v>14</v>
      </c>
      <c r="R20" s="8">
        <v>0</v>
      </c>
      <c r="S20" s="1">
        <f t="shared" si="0"/>
        <v>101</v>
      </c>
    </row>
    <row r="21" spans="1:19" ht="15.75" thickBot="1">
      <c r="A21" s="7">
        <v>18</v>
      </c>
      <c r="B21" s="8" t="s">
        <v>200</v>
      </c>
      <c r="C21" s="8">
        <v>0</v>
      </c>
      <c r="D21" s="8">
        <v>0</v>
      </c>
      <c r="E21" s="8">
        <v>0</v>
      </c>
      <c r="F21" s="8">
        <v>0</v>
      </c>
      <c r="G21" s="8">
        <v>16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47</v>
      </c>
      <c r="N21" s="8">
        <v>0</v>
      </c>
      <c r="O21" s="8">
        <v>35</v>
      </c>
      <c r="P21" s="8">
        <v>0</v>
      </c>
      <c r="Q21" s="8">
        <v>15</v>
      </c>
      <c r="R21" s="8">
        <v>0</v>
      </c>
      <c r="S21" s="1">
        <f t="shared" si="0"/>
        <v>113</v>
      </c>
    </row>
    <row r="22" spans="1:19" ht="15.75" thickBot="1">
      <c r="A22" s="7">
        <v>19</v>
      </c>
      <c r="B22" s="8" t="s">
        <v>201</v>
      </c>
      <c r="C22" s="8">
        <v>0</v>
      </c>
      <c r="D22" s="8">
        <v>0</v>
      </c>
      <c r="E22" s="8">
        <v>0</v>
      </c>
      <c r="F22" s="8">
        <v>0</v>
      </c>
      <c r="G22" s="8">
        <v>9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35</v>
      </c>
      <c r="N22" s="8">
        <v>0</v>
      </c>
      <c r="O22" s="8">
        <v>38</v>
      </c>
      <c r="P22" s="8">
        <v>2</v>
      </c>
      <c r="Q22" s="8">
        <v>15</v>
      </c>
      <c r="R22" s="8">
        <v>0</v>
      </c>
      <c r="S22" s="1">
        <f t="shared" si="0"/>
        <v>99</v>
      </c>
    </row>
    <row r="23" spans="1:19" ht="15.75" thickBot="1">
      <c r="A23" s="7">
        <v>20</v>
      </c>
      <c r="B23" s="8" t="s">
        <v>202</v>
      </c>
      <c r="C23" s="8">
        <v>0</v>
      </c>
      <c r="D23" s="8">
        <v>0</v>
      </c>
      <c r="E23" s="8">
        <v>0</v>
      </c>
      <c r="F23" s="8">
        <v>0</v>
      </c>
      <c r="G23" s="8">
        <v>12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29</v>
      </c>
      <c r="N23" s="8">
        <v>8</v>
      </c>
      <c r="O23" s="8">
        <v>39</v>
      </c>
      <c r="P23" s="8">
        <v>2</v>
      </c>
      <c r="Q23" s="8">
        <v>15</v>
      </c>
      <c r="R23" s="8">
        <v>0</v>
      </c>
      <c r="S23" s="1">
        <f t="shared" si="0"/>
        <v>105</v>
      </c>
    </row>
    <row r="24" spans="1:19" ht="15.75" thickBot="1">
      <c r="A24" s="7">
        <v>21</v>
      </c>
      <c r="B24" s="8" t="s">
        <v>203</v>
      </c>
      <c r="C24" s="8">
        <v>0</v>
      </c>
      <c r="D24" s="8">
        <v>0</v>
      </c>
      <c r="E24" s="8">
        <v>0</v>
      </c>
      <c r="F24" s="8">
        <v>0</v>
      </c>
      <c r="G24" s="8">
        <v>2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16</v>
      </c>
      <c r="N24" s="8">
        <v>0</v>
      </c>
      <c r="O24" s="8">
        <v>10</v>
      </c>
      <c r="P24" s="8">
        <v>0</v>
      </c>
      <c r="Q24" s="8">
        <v>4</v>
      </c>
      <c r="R24" s="8">
        <v>0</v>
      </c>
      <c r="S24" s="1">
        <f t="shared" si="0"/>
        <v>32</v>
      </c>
    </row>
    <row r="25" spans="1:19" ht="15.75" thickBot="1">
      <c r="A25" s="7">
        <v>22</v>
      </c>
      <c r="B25" s="8" t="s">
        <v>204</v>
      </c>
      <c r="C25" s="8">
        <v>0</v>
      </c>
      <c r="D25" s="8">
        <v>0</v>
      </c>
      <c r="E25" s="8">
        <v>0</v>
      </c>
      <c r="F25" s="8">
        <v>0</v>
      </c>
      <c r="G25" s="8">
        <v>13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29</v>
      </c>
      <c r="N25" s="8">
        <v>0</v>
      </c>
      <c r="O25" s="8">
        <v>39</v>
      </c>
      <c r="P25" s="8">
        <v>0</v>
      </c>
      <c r="Q25" s="8">
        <v>19</v>
      </c>
      <c r="R25" s="8">
        <v>0</v>
      </c>
      <c r="S25" s="1">
        <f t="shared" si="0"/>
        <v>100</v>
      </c>
    </row>
    <row r="26" spans="1:19" ht="15.75" thickBot="1">
      <c r="A26" s="7">
        <v>23</v>
      </c>
      <c r="B26" s="8" t="s">
        <v>205</v>
      </c>
      <c r="C26" s="8">
        <v>0</v>
      </c>
      <c r="D26" s="8">
        <v>0</v>
      </c>
      <c r="E26" s="8">
        <v>0</v>
      </c>
      <c r="F26" s="8">
        <v>0</v>
      </c>
      <c r="G26" s="8">
        <v>7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33</v>
      </c>
      <c r="N26" s="8">
        <v>0</v>
      </c>
      <c r="O26" s="8">
        <v>37</v>
      </c>
      <c r="P26" s="8">
        <v>0</v>
      </c>
      <c r="Q26" s="8">
        <v>17</v>
      </c>
      <c r="R26" s="8">
        <v>0</v>
      </c>
      <c r="S26" s="1">
        <f t="shared" si="0"/>
        <v>94</v>
      </c>
    </row>
    <row r="27" spans="1:19" ht="15.75" thickBot="1">
      <c r="A27" s="7">
        <v>24</v>
      </c>
      <c r="B27" s="8" t="s">
        <v>206</v>
      </c>
      <c r="C27" s="8">
        <v>0</v>
      </c>
      <c r="D27" s="8">
        <v>0</v>
      </c>
      <c r="E27" s="8">
        <v>0</v>
      </c>
      <c r="F27" s="8">
        <v>0</v>
      </c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1">
        <f t="shared" si="0"/>
        <v>0</v>
      </c>
    </row>
    <row r="28" spans="1:19" ht="15.75" thickBot="1">
      <c r="A28" s="7">
        <v>25</v>
      </c>
      <c r="B28" s="8" t="s">
        <v>207</v>
      </c>
      <c r="C28" s="8">
        <v>0</v>
      </c>
      <c r="D28" s="8">
        <v>0</v>
      </c>
      <c r="E28" s="8">
        <v>0</v>
      </c>
      <c r="F28" s="8">
        <v>0</v>
      </c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1">
        <f t="shared" si="0"/>
        <v>0</v>
      </c>
    </row>
    <row r="29" spans="1:19" ht="15.75" thickBot="1">
      <c r="A29" s="7">
        <v>26</v>
      </c>
      <c r="B29" s="8" t="s">
        <v>212</v>
      </c>
      <c r="C29" s="8">
        <v>0</v>
      </c>
      <c r="D29" s="8">
        <v>0</v>
      </c>
      <c r="E29" s="8">
        <v>0</v>
      </c>
      <c r="F29" s="8">
        <v>0</v>
      </c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1">
        <f t="shared" si="0"/>
        <v>0</v>
      </c>
    </row>
    <row r="30" spans="1:19" ht="15.75" thickBot="1">
      <c r="A30" s="7">
        <v>27</v>
      </c>
      <c r="B30" s="8" t="s">
        <v>208</v>
      </c>
      <c r="C30" s="8">
        <v>0</v>
      </c>
      <c r="D30" s="8">
        <v>0</v>
      </c>
      <c r="E30" s="8">
        <v>0</v>
      </c>
      <c r="F30" s="8">
        <v>0</v>
      </c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1">
        <f t="shared" si="0"/>
        <v>0</v>
      </c>
    </row>
    <row r="31" spans="1:19" ht="15.75" thickBot="1">
      <c r="A31" s="7">
        <v>28</v>
      </c>
      <c r="B31" s="8" t="s">
        <v>209</v>
      </c>
      <c r="C31" s="8">
        <v>0</v>
      </c>
      <c r="D31" s="8">
        <v>0</v>
      </c>
      <c r="E31" s="8">
        <v>0</v>
      </c>
      <c r="F31" s="8">
        <v>0</v>
      </c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1">
        <f t="shared" si="0"/>
        <v>0</v>
      </c>
    </row>
    <row r="32" spans="1:19" ht="15.75" thickBot="1">
      <c r="A32" s="7">
        <v>29</v>
      </c>
      <c r="B32" s="8" t="s">
        <v>210</v>
      </c>
      <c r="C32" s="8">
        <v>0</v>
      </c>
      <c r="D32" s="8">
        <v>0</v>
      </c>
      <c r="E32" s="8">
        <v>0</v>
      </c>
      <c r="F32" s="8">
        <v>0</v>
      </c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1">
        <f t="shared" si="0"/>
        <v>0</v>
      </c>
    </row>
    <row r="33" spans="1:19" ht="15.75" thickBot="1">
      <c r="A33" s="7">
        <v>30</v>
      </c>
      <c r="B33" s="8" t="s">
        <v>211</v>
      </c>
      <c r="C33" s="8">
        <v>0</v>
      </c>
      <c r="D33" s="8">
        <v>0</v>
      </c>
      <c r="E33" s="8">
        <v>0</v>
      </c>
      <c r="F33" s="8">
        <v>0</v>
      </c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1">
        <f t="shared" si="0"/>
        <v>0</v>
      </c>
    </row>
    <row r="34" spans="1:19" ht="15.75" thickBot="1">
      <c r="A34" s="4"/>
      <c r="B34" s="5"/>
      <c r="C34" s="8">
        <f t="shared" ref="C34:S34" si="1">SUM(C4:C33)</f>
        <v>0</v>
      </c>
      <c r="D34" s="8">
        <f t="shared" si="1"/>
        <v>0</v>
      </c>
      <c r="E34" s="8">
        <f t="shared" si="1"/>
        <v>0</v>
      </c>
      <c r="F34" s="8">
        <f t="shared" si="1"/>
        <v>0</v>
      </c>
      <c r="G34" s="8">
        <f t="shared" si="1"/>
        <v>149</v>
      </c>
      <c r="H34" s="8">
        <f t="shared" si="1"/>
        <v>0</v>
      </c>
      <c r="I34" s="8">
        <f t="shared" si="1"/>
        <v>0</v>
      </c>
      <c r="J34" s="8">
        <f t="shared" si="1"/>
        <v>0</v>
      </c>
      <c r="K34" s="8">
        <f t="shared" si="1"/>
        <v>0</v>
      </c>
      <c r="L34" s="8">
        <f t="shared" si="1"/>
        <v>0</v>
      </c>
      <c r="M34" s="8">
        <f t="shared" si="1"/>
        <v>708</v>
      </c>
      <c r="N34" s="8">
        <f t="shared" si="1"/>
        <v>18</v>
      </c>
      <c r="O34" s="8">
        <f t="shared" si="1"/>
        <v>670</v>
      </c>
      <c r="P34" s="8">
        <f t="shared" si="1"/>
        <v>6</v>
      </c>
      <c r="Q34" s="8">
        <f t="shared" si="1"/>
        <v>339</v>
      </c>
      <c r="R34" s="8">
        <f t="shared" si="1"/>
        <v>4</v>
      </c>
      <c r="S34" s="8">
        <f t="shared" si="1"/>
        <v>1894</v>
      </c>
    </row>
  </sheetData>
  <mergeCells count="9">
    <mergeCell ref="A1:R1"/>
    <mergeCell ref="C2:D2"/>
    <mergeCell ref="E2:F2"/>
    <mergeCell ref="G2:H2"/>
    <mergeCell ref="I2:J2"/>
    <mergeCell ref="K2:L2"/>
    <mergeCell ref="M2:N2"/>
    <mergeCell ref="O2:P2"/>
    <mergeCell ref="Q2:R2"/>
  </mergeCells>
  <hyperlinks>
    <hyperlink ref="A2" r:id="rId1" xr:uid="{B5461431-44B6-461C-B374-1E9992E89EC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Canola Jan-26</vt:lpstr>
      <vt:lpstr>Wheat Grass Jan-26</vt:lpstr>
      <vt:lpstr>Total Labour Jan-26</vt:lpstr>
      <vt:lpstr>Canola Feb-26</vt:lpstr>
      <vt:lpstr>Wheat Grass Feb-26</vt:lpstr>
      <vt:lpstr>Total Labour Feb-26</vt:lpstr>
      <vt:lpstr>Canola Mar-26</vt:lpstr>
      <vt:lpstr>Wheat Grass Mar-26</vt:lpstr>
      <vt:lpstr>Total Labour Mar-26</vt:lpstr>
      <vt:lpstr>Canola Apr-26</vt:lpstr>
      <vt:lpstr>Wheat Grass Apr-26</vt:lpstr>
      <vt:lpstr>Total Labour Apr-26</vt:lpstr>
      <vt:lpstr>Canola May-26</vt:lpstr>
      <vt:lpstr>Wheat Grass May-26</vt:lpstr>
      <vt:lpstr>Total Labour May-26</vt:lpstr>
      <vt:lpstr>Canola June-26</vt:lpstr>
      <vt:lpstr>Wheat Grass June-26</vt:lpstr>
      <vt:lpstr>Total Labour June-26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Accounts-Jivo</dc:creator>
  <cp:lastModifiedBy>PC</cp:lastModifiedBy>
  <dcterms:created xsi:type="dcterms:W3CDTF">2025-12-27T08:19:00Z</dcterms:created>
  <dcterms:modified xsi:type="dcterms:W3CDTF">2026-06-23T06:53:39Z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EDAE30B5E92E4D8B92C85E1A922A4898_12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